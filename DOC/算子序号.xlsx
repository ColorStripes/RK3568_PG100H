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F:\VSstudio\Yolov5\"/>
    </mc:Choice>
  </mc:AlternateContent>
  <xr:revisionPtr revIDLastSave="0" documentId="13_ncr:1_{D41FCF4F-B897-4D8E-9467-D04879C37F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R64" i="1" l="1"/>
  <c r="O64" i="1"/>
  <c r="N64" i="1"/>
  <c r="R63" i="1"/>
  <c r="O63" i="1"/>
  <c r="N63" i="1"/>
  <c r="R62" i="1"/>
  <c r="O62" i="1"/>
  <c r="N62" i="1"/>
  <c r="R61" i="1"/>
  <c r="Q61" i="1"/>
  <c r="O61" i="1"/>
  <c r="N61" i="1"/>
  <c r="R60" i="1"/>
  <c r="O60" i="1"/>
  <c r="N60" i="1"/>
  <c r="R59" i="1"/>
  <c r="Q59" i="1"/>
  <c r="O59" i="1"/>
  <c r="N59" i="1"/>
  <c r="R58" i="1"/>
  <c r="O58" i="1"/>
  <c r="N58" i="1"/>
  <c r="R57" i="1"/>
  <c r="O57" i="1"/>
  <c r="N57" i="1"/>
  <c r="R56" i="1"/>
  <c r="O56" i="1"/>
  <c r="N56" i="1"/>
  <c r="R55" i="1"/>
  <c r="Q55" i="1"/>
  <c r="O55" i="1"/>
  <c r="N55" i="1"/>
  <c r="R54" i="1"/>
  <c r="O54" i="1"/>
  <c r="N54" i="1"/>
  <c r="R53" i="1"/>
  <c r="Q53" i="1"/>
  <c r="O53" i="1"/>
  <c r="N53" i="1"/>
  <c r="R52" i="1"/>
  <c r="O52" i="1"/>
  <c r="N52" i="1"/>
  <c r="R51" i="1"/>
  <c r="O51" i="1"/>
  <c r="N51" i="1"/>
  <c r="R50" i="1"/>
  <c r="O50" i="1"/>
  <c r="N50" i="1"/>
  <c r="R49" i="1"/>
  <c r="Q49" i="1"/>
  <c r="O49" i="1"/>
  <c r="N49" i="1"/>
  <c r="R48" i="1"/>
  <c r="O48" i="1"/>
  <c r="N48" i="1"/>
  <c r="R47" i="1"/>
  <c r="Q47" i="1"/>
  <c r="O47" i="1"/>
  <c r="N47" i="1"/>
  <c r="R46" i="1"/>
  <c r="O46" i="1"/>
  <c r="N46" i="1"/>
  <c r="R45" i="1"/>
  <c r="O45" i="1"/>
  <c r="N45" i="1"/>
  <c r="R44" i="1"/>
  <c r="O44" i="1"/>
  <c r="N44" i="1"/>
  <c r="R43" i="1"/>
  <c r="O43" i="1"/>
  <c r="N43" i="1"/>
  <c r="R42" i="1"/>
  <c r="O42" i="1"/>
  <c r="N42" i="1"/>
  <c r="R41" i="1"/>
  <c r="Q41" i="1"/>
  <c r="O41" i="1"/>
  <c r="N41" i="1"/>
  <c r="R40" i="1"/>
  <c r="O40" i="1"/>
  <c r="N40" i="1"/>
  <c r="R39" i="1"/>
  <c r="O39" i="1"/>
  <c r="N39" i="1"/>
  <c r="R38" i="1"/>
  <c r="O38" i="1"/>
  <c r="N38" i="1"/>
  <c r="R37" i="1"/>
  <c r="O37" i="1"/>
  <c r="N37" i="1"/>
  <c r="R36" i="1"/>
  <c r="O36" i="1"/>
  <c r="N36" i="1"/>
  <c r="R35" i="1"/>
  <c r="O35" i="1"/>
  <c r="N35" i="1"/>
  <c r="R34" i="1"/>
  <c r="O34" i="1"/>
  <c r="N34" i="1"/>
  <c r="R33" i="1"/>
  <c r="Q33" i="1"/>
  <c r="O33" i="1"/>
  <c r="N33" i="1"/>
  <c r="R32" i="1"/>
  <c r="O32" i="1"/>
  <c r="N32" i="1"/>
  <c r="R31" i="1"/>
  <c r="O31" i="1"/>
  <c r="N31" i="1"/>
  <c r="R30" i="1"/>
  <c r="O30" i="1"/>
  <c r="N30" i="1"/>
  <c r="R29" i="1"/>
  <c r="Q29" i="1"/>
  <c r="O29" i="1"/>
  <c r="N29" i="1"/>
  <c r="R28" i="1"/>
  <c r="O28" i="1"/>
  <c r="N28" i="1"/>
  <c r="R27" i="1"/>
  <c r="Q27" i="1"/>
  <c r="O27" i="1"/>
  <c r="N27" i="1"/>
  <c r="R26" i="1"/>
  <c r="O26" i="1"/>
  <c r="N26" i="1"/>
  <c r="R25" i="1"/>
  <c r="Q25" i="1"/>
  <c r="O25" i="1"/>
  <c r="N25" i="1"/>
  <c r="R24" i="1"/>
  <c r="O24" i="1"/>
  <c r="N24" i="1"/>
  <c r="R23" i="1"/>
  <c r="Q23" i="1"/>
  <c r="O23" i="1"/>
  <c r="N23" i="1"/>
  <c r="R22" i="1"/>
  <c r="O22" i="1"/>
  <c r="N22" i="1"/>
  <c r="R21" i="1"/>
  <c r="O21" i="1"/>
  <c r="N21" i="1"/>
  <c r="R20" i="1"/>
  <c r="O20" i="1"/>
  <c r="N20" i="1"/>
  <c r="R19" i="1"/>
  <c r="Q19" i="1"/>
  <c r="O19" i="1"/>
  <c r="N19" i="1"/>
  <c r="R18" i="1"/>
  <c r="O18" i="1"/>
  <c r="N18" i="1"/>
  <c r="R17" i="1"/>
  <c r="Q17" i="1"/>
  <c r="O17" i="1"/>
  <c r="N17" i="1"/>
  <c r="R16" i="1"/>
  <c r="O16" i="1"/>
  <c r="N16" i="1"/>
  <c r="R15" i="1"/>
  <c r="Q15" i="1"/>
  <c r="O15" i="1"/>
  <c r="N15" i="1"/>
  <c r="R14" i="1"/>
  <c r="O14" i="1"/>
  <c r="N14" i="1"/>
  <c r="R13" i="1"/>
  <c r="O13" i="1"/>
  <c r="N13" i="1"/>
  <c r="R12" i="1"/>
  <c r="O12" i="1"/>
  <c r="N12" i="1"/>
  <c r="R11" i="1"/>
  <c r="Q11" i="1"/>
  <c r="O11" i="1"/>
  <c r="N11" i="1"/>
  <c r="R10" i="1"/>
  <c r="O10" i="1"/>
  <c r="N10" i="1"/>
  <c r="R9" i="1"/>
  <c r="Q9" i="1"/>
  <c r="O9" i="1"/>
  <c r="N9" i="1"/>
  <c r="R8" i="1"/>
  <c r="O8" i="1"/>
  <c r="N8" i="1"/>
  <c r="R7" i="1"/>
  <c r="O7" i="1"/>
  <c r="N7" i="1"/>
  <c r="R6" i="1"/>
  <c r="O6" i="1"/>
  <c r="N6" i="1"/>
  <c r="R5" i="1"/>
  <c r="Q5" i="1"/>
  <c r="O5" i="1"/>
  <c r="N5" i="1"/>
  <c r="R4" i="1"/>
  <c r="Q4" i="1"/>
  <c r="O4" i="1"/>
  <c r="N4" i="1"/>
  <c r="R3" i="1"/>
  <c r="Q3" i="1"/>
  <c r="O3" i="1"/>
  <c r="N3" i="1"/>
</calcChain>
</file>

<file path=xl/sharedStrings.xml><?xml version="1.0" encoding="utf-8"?>
<sst xmlns="http://schemas.openxmlformats.org/spreadsheetml/2006/main" count="258" uniqueCount="180">
  <si>
    <t>YOLO V5 n 网络结构</t>
  </si>
  <si>
    <t>算子</t>
  </si>
  <si>
    <t>hin</t>
  </si>
  <si>
    <t>win</t>
  </si>
  <si>
    <t>cin</t>
  </si>
  <si>
    <t>hout</t>
  </si>
  <si>
    <t>wout</t>
  </si>
  <si>
    <t>cout</t>
  </si>
  <si>
    <t>stride</t>
  </si>
  <si>
    <t>类型</t>
  </si>
  <si>
    <t>in_len</t>
  </si>
  <si>
    <t>out_len</t>
  </si>
  <si>
    <t>focus</t>
  </si>
  <si>
    <t>conv1</t>
  </si>
  <si>
    <t>3*3卷积</t>
  </si>
  <si>
    <t>conv2</t>
  </si>
  <si>
    <t>conv3</t>
  </si>
  <si>
    <t>1*1卷积</t>
  </si>
  <si>
    <t>conv5</t>
  </si>
  <si>
    <t>conv6</t>
  </si>
  <si>
    <t>3*3</t>
  </si>
  <si>
    <t>conv7</t>
  </si>
  <si>
    <t>1*1</t>
  </si>
  <si>
    <t>conv8</t>
  </si>
  <si>
    <t>conv9</t>
  </si>
  <si>
    <t>conv10</t>
  </si>
  <si>
    <t>conv11</t>
  </si>
  <si>
    <t>conv12</t>
  </si>
  <si>
    <t>conv13</t>
  </si>
  <si>
    <t>conv14</t>
  </si>
  <si>
    <t>conv15</t>
  </si>
  <si>
    <t>conv16</t>
  </si>
  <si>
    <t>conv17</t>
  </si>
  <si>
    <t>conv18</t>
  </si>
  <si>
    <t>conv19</t>
  </si>
  <si>
    <t>conv20</t>
  </si>
  <si>
    <t>conv21</t>
  </si>
  <si>
    <t>conv22</t>
  </si>
  <si>
    <t>conv23</t>
  </si>
  <si>
    <t>conv24</t>
  </si>
  <si>
    <t>conv25</t>
  </si>
  <si>
    <t>conv26</t>
  </si>
  <si>
    <t>conv27</t>
  </si>
  <si>
    <t>conv28</t>
  </si>
  <si>
    <t>conv29</t>
  </si>
  <si>
    <t>conv30</t>
  </si>
  <si>
    <t>conv31</t>
  </si>
  <si>
    <t>conv32</t>
  </si>
  <si>
    <t>conv33</t>
  </si>
  <si>
    <t>conv34</t>
  </si>
  <si>
    <t>conv35</t>
  </si>
  <si>
    <t>conv36</t>
  </si>
  <si>
    <t>conv37</t>
  </si>
  <si>
    <t>conv38</t>
  </si>
  <si>
    <t>conv39</t>
  </si>
  <si>
    <t>conv40</t>
  </si>
  <si>
    <t>conv41</t>
  </si>
  <si>
    <t>conv42</t>
  </si>
  <si>
    <t>conv43</t>
  </si>
  <si>
    <t>conv44</t>
  </si>
  <si>
    <t>conv45</t>
  </si>
  <si>
    <t>conv46</t>
  </si>
  <si>
    <t>conv47</t>
  </si>
  <si>
    <t>conv48</t>
  </si>
  <si>
    <t>conv49</t>
  </si>
  <si>
    <t>conv50</t>
  </si>
  <si>
    <t>conv51</t>
  </si>
  <si>
    <t>conv52</t>
  </si>
  <si>
    <t>conv53</t>
  </si>
  <si>
    <t>conv54</t>
  </si>
  <si>
    <t>conv55</t>
  </si>
  <si>
    <t>conv56</t>
  </si>
  <si>
    <t>conv57</t>
  </si>
  <si>
    <t>conv_head1</t>
  </si>
  <si>
    <t>conv_head2</t>
  </si>
  <si>
    <t>conv_head3</t>
  </si>
  <si>
    <t>add0</t>
  </si>
  <si>
    <t>conv3    conv6</t>
  </si>
  <si>
    <t>add1</t>
  </si>
  <si>
    <t>conv12   conv9</t>
  </si>
  <si>
    <t>add2</t>
  </si>
  <si>
    <t>conv14    add1</t>
  </si>
  <si>
    <t>add3</t>
  </si>
  <si>
    <t>conv20   conv17</t>
  </si>
  <si>
    <t>add4</t>
  </si>
  <si>
    <t>conv22  add3</t>
  </si>
  <si>
    <t>add5</t>
  </si>
  <si>
    <t>conv24  add4</t>
  </si>
  <si>
    <t>add6</t>
  </si>
  <si>
    <t>conv27  conv30</t>
  </si>
  <si>
    <t>cat0</t>
  </si>
  <si>
    <t>add0  conv4</t>
  </si>
  <si>
    <t>cat1</t>
  </si>
  <si>
    <t>add2  conv10</t>
  </si>
  <si>
    <t>cat2</t>
  </si>
  <si>
    <t>add5  conv18</t>
  </si>
  <si>
    <t>cat3</t>
  </si>
  <si>
    <t>add6  conv28</t>
  </si>
  <si>
    <t>cat4_1</t>
  </si>
  <si>
    <t>conv32  max1</t>
  </si>
  <si>
    <t>cat4_2</t>
  </si>
  <si>
    <t>max2  max3</t>
  </si>
  <si>
    <t>cat4_3</t>
  </si>
  <si>
    <t>cat4_1  cat4_2</t>
  </si>
  <si>
    <t>cat5</t>
  </si>
  <si>
    <t>up0  conv25</t>
  </si>
  <si>
    <t>cat6</t>
  </si>
  <si>
    <t>conv38  conv36</t>
  </si>
  <si>
    <t>cat7</t>
  </si>
  <si>
    <t>up1  conv15</t>
  </si>
  <si>
    <t>cat8</t>
  </si>
  <si>
    <t>conv44   conv42</t>
  </si>
  <si>
    <t>cat9</t>
  </si>
  <si>
    <t>conv46  conv40</t>
  </si>
  <si>
    <t>cat10</t>
  </si>
  <si>
    <t>conv50  conv48</t>
  </si>
  <si>
    <t>cat11</t>
  </si>
  <si>
    <t>conv52  conv34</t>
  </si>
  <si>
    <t>cat12</t>
  </si>
  <si>
    <t>conv56  conv54</t>
  </si>
  <si>
    <t>up0</t>
  </si>
  <si>
    <t>up1</t>
  </si>
  <si>
    <t>max1</t>
  </si>
  <si>
    <t>max2</t>
  </si>
  <si>
    <t>max3</t>
  </si>
  <si>
    <t>img</t>
  </si>
  <si>
    <t>网络序号</t>
    <phoneticPr fontId="2" type="noConversion"/>
  </si>
  <si>
    <t>哪一层的输出作为输入</t>
    <phoneticPr fontId="2" type="noConversion"/>
  </si>
  <si>
    <t>img</t>
    <phoneticPr fontId="2" type="noConversion"/>
  </si>
  <si>
    <t>focus</t>
    <phoneticPr fontId="2" type="noConversion"/>
  </si>
  <si>
    <t>conv1</t>
    <phoneticPr fontId="2" type="noConversion"/>
  </si>
  <si>
    <t>conv2</t>
    <phoneticPr fontId="2" type="noConversion"/>
  </si>
  <si>
    <t>conv3</t>
    <phoneticPr fontId="2" type="noConversion"/>
  </si>
  <si>
    <t>conv5</t>
    <phoneticPr fontId="2" type="noConversion"/>
  </si>
  <si>
    <t>cat0</t>
    <phoneticPr fontId="2" type="noConversion"/>
  </si>
  <si>
    <t>conv7</t>
    <phoneticPr fontId="2" type="noConversion"/>
  </si>
  <si>
    <t>conv8</t>
    <phoneticPr fontId="2" type="noConversion"/>
  </si>
  <si>
    <t>conv9</t>
    <phoneticPr fontId="2" type="noConversion"/>
  </si>
  <si>
    <t>conv11</t>
    <phoneticPr fontId="2" type="noConversion"/>
  </si>
  <si>
    <t>add1</t>
    <phoneticPr fontId="2" type="noConversion"/>
  </si>
  <si>
    <t>conv13</t>
    <phoneticPr fontId="2" type="noConversion"/>
  </si>
  <si>
    <t>cat1</t>
    <phoneticPr fontId="2" type="noConversion"/>
  </si>
  <si>
    <t>conv15</t>
    <phoneticPr fontId="2" type="noConversion"/>
  </si>
  <si>
    <t>conv16</t>
    <phoneticPr fontId="2" type="noConversion"/>
  </si>
  <si>
    <t>conv17</t>
    <phoneticPr fontId="2" type="noConversion"/>
  </si>
  <si>
    <t>conv19</t>
    <phoneticPr fontId="2" type="noConversion"/>
  </si>
  <si>
    <t>add3</t>
    <phoneticPr fontId="2" type="noConversion"/>
  </si>
  <si>
    <t>conv21</t>
    <phoneticPr fontId="2" type="noConversion"/>
  </si>
  <si>
    <t>add4</t>
    <phoneticPr fontId="2" type="noConversion"/>
  </si>
  <si>
    <t>conv23</t>
    <phoneticPr fontId="2" type="noConversion"/>
  </si>
  <si>
    <t>cat2</t>
    <phoneticPr fontId="2" type="noConversion"/>
  </si>
  <si>
    <t>conv25</t>
    <phoneticPr fontId="2" type="noConversion"/>
  </si>
  <si>
    <t>conv26</t>
    <phoneticPr fontId="2" type="noConversion"/>
  </si>
  <si>
    <t>conv27</t>
    <phoneticPr fontId="2" type="noConversion"/>
  </si>
  <si>
    <t>conv29</t>
    <phoneticPr fontId="2" type="noConversion"/>
  </si>
  <si>
    <t>cat3</t>
    <phoneticPr fontId="2" type="noConversion"/>
  </si>
  <si>
    <t>conv31</t>
    <phoneticPr fontId="2" type="noConversion"/>
  </si>
  <si>
    <t>cat4</t>
    <phoneticPr fontId="2" type="noConversion"/>
  </si>
  <si>
    <t>conv33</t>
    <phoneticPr fontId="2" type="noConversion"/>
  </si>
  <si>
    <t>cat5</t>
    <phoneticPr fontId="2" type="noConversion"/>
  </si>
  <si>
    <t>conv35</t>
    <phoneticPr fontId="2" type="noConversion"/>
  </si>
  <si>
    <t>conv37</t>
    <phoneticPr fontId="2" type="noConversion"/>
  </si>
  <si>
    <t>cat6</t>
    <phoneticPr fontId="2" type="noConversion"/>
  </si>
  <si>
    <t>conv39</t>
    <phoneticPr fontId="2" type="noConversion"/>
  </si>
  <si>
    <t>cat7</t>
    <phoneticPr fontId="2" type="noConversion"/>
  </si>
  <si>
    <t>conv41</t>
    <phoneticPr fontId="2" type="noConversion"/>
  </si>
  <si>
    <t>conv43</t>
    <phoneticPr fontId="2" type="noConversion"/>
  </si>
  <si>
    <t>cat8</t>
    <phoneticPr fontId="2" type="noConversion"/>
  </si>
  <si>
    <t>conv45</t>
    <phoneticPr fontId="2" type="noConversion"/>
  </si>
  <si>
    <t>cat9</t>
    <phoneticPr fontId="2" type="noConversion"/>
  </si>
  <si>
    <t>conv47</t>
    <phoneticPr fontId="2" type="noConversion"/>
  </si>
  <si>
    <t>conv49</t>
    <phoneticPr fontId="2" type="noConversion"/>
  </si>
  <si>
    <t>cat10</t>
    <phoneticPr fontId="2" type="noConversion"/>
  </si>
  <si>
    <t>conv51</t>
    <phoneticPr fontId="2" type="noConversion"/>
  </si>
  <si>
    <t>cat11</t>
    <phoneticPr fontId="2" type="noConversion"/>
  </si>
  <si>
    <t>conv53</t>
    <phoneticPr fontId="2" type="noConversion"/>
  </si>
  <si>
    <t>conv55</t>
    <phoneticPr fontId="2" type="noConversion"/>
  </si>
  <si>
    <t>cat12</t>
    <phoneticPr fontId="2" type="noConversion"/>
  </si>
  <si>
    <t>conv57</t>
    <phoneticPr fontId="2" type="noConversion"/>
  </si>
  <si>
    <t>conv4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</si>
</sst>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1" applyAlignme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1" applyFont="1" applyAlignment="1">
      <alignment horizont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2"/>
  <sheetViews>
    <sheetView tabSelected="1" topLeftCell="A79" workbookViewId="0">
      <selection activeCell="C72" sqref="C72"/>
    </sheetView>
  </sheetViews>
  <sheetFormatPr defaultColWidth="9" defaultRowHeight="13.8" x14ac:dyDescent="0.25"/>
  <cols>
    <col min="1" max="1" width="15.109375" customWidth="1"/>
    <col min="2" max="2" width="25.77734375" customWidth="1"/>
  </cols>
  <sheetData>
    <row r="1" spans="1:18" x14ac:dyDescent="0.25">
      <c r="A1" s="4" t="s">
        <v>0</v>
      </c>
      <c r="B1" s="4"/>
    </row>
    <row r="2" spans="1:18" x14ac:dyDescent="0.25">
      <c r="A2" t="s">
        <v>1</v>
      </c>
      <c r="B2" s="5" t="s">
        <v>127</v>
      </c>
      <c r="D2" s="5" t="s">
        <v>126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</row>
    <row r="3" spans="1:18" x14ac:dyDescent="0.25">
      <c r="A3" t="s">
        <v>12</v>
      </c>
      <c r="B3" s="6" t="s">
        <v>128</v>
      </c>
      <c r="D3">
        <v>0</v>
      </c>
      <c r="F3">
        <v>640</v>
      </c>
      <c r="G3">
        <v>640</v>
      </c>
      <c r="H3">
        <v>3</v>
      </c>
      <c r="I3">
        <v>320</v>
      </c>
      <c r="J3">
        <v>320</v>
      </c>
      <c r="K3">
        <v>12</v>
      </c>
      <c r="N3">
        <f>G3*H3</f>
        <v>1920</v>
      </c>
      <c r="O3">
        <f>J3*K3</f>
        <v>3840</v>
      </c>
      <c r="Q3">
        <f>H3*K3*9+(K3/2)*16</f>
        <v>420</v>
      </c>
      <c r="R3">
        <f>H3*K3+(K3/2)*16</f>
        <v>132</v>
      </c>
    </row>
    <row r="4" spans="1:18" s="1" customFormat="1" x14ac:dyDescent="0.25">
      <c r="A4" s="1" t="s">
        <v>13</v>
      </c>
      <c r="B4" s="7" t="s">
        <v>129</v>
      </c>
      <c r="D4" s="1">
        <v>1</v>
      </c>
      <c r="F4" s="1">
        <v>320</v>
      </c>
      <c r="G4" s="1">
        <v>320</v>
      </c>
      <c r="H4" s="1">
        <v>12</v>
      </c>
      <c r="I4" s="1">
        <v>320</v>
      </c>
      <c r="J4" s="1">
        <v>320</v>
      </c>
      <c r="K4" s="1">
        <v>16</v>
      </c>
      <c r="L4" s="1">
        <v>1</v>
      </c>
      <c r="M4" s="1" t="s">
        <v>14</v>
      </c>
      <c r="N4" s="1">
        <f t="shared" ref="N4:N64" si="0">G4*H4</f>
        <v>3840</v>
      </c>
      <c r="O4" s="1">
        <f t="shared" ref="O4:O64" si="1">J4*K4</f>
        <v>5120</v>
      </c>
      <c r="Q4">
        <f>H4*K4*9+(K4/2)*16</f>
        <v>1856</v>
      </c>
      <c r="R4">
        <f t="shared" ref="R4:R35" si="2">H4*K4+(K4/2)*16</f>
        <v>320</v>
      </c>
    </row>
    <row r="5" spans="1:18" s="1" customFormat="1" x14ac:dyDescent="0.25">
      <c r="A5" s="1" t="s">
        <v>15</v>
      </c>
      <c r="B5" s="7" t="s">
        <v>130</v>
      </c>
      <c r="D5" s="1">
        <v>2</v>
      </c>
      <c r="F5" s="1">
        <v>320</v>
      </c>
      <c r="G5" s="1">
        <v>320</v>
      </c>
      <c r="H5" s="1">
        <v>16</v>
      </c>
      <c r="I5" s="1">
        <v>160</v>
      </c>
      <c r="J5" s="1">
        <v>160</v>
      </c>
      <c r="K5" s="1">
        <v>32</v>
      </c>
      <c r="L5" s="1">
        <v>2</v>
      </c>
      <c r="M5" s="1" t="s">
        <v>14</v>
      </c>
      <c r="N5" s="1">
        <f t="shared" si="0"/>
        <v>5120</v>
      </c>
      <c r="O5" s="1">
        <f t="shared" si="1"/>
        <v>5120</v>
      </c>
      <c r="Q5">
        <f>H5*K5*9+(K5/2)*16</f>
        <v>4864</v>
      </c>
      <c r="R5">
        <f t="shared" si="2"/>
        <v>768</v>
      </c>
    </row>
    <row r="6" spans="1:18" x14ac:dyDescent="0.25">
      <c r="A6" t="s">
        <v>16</v>
      </c>
      <c r="B6" s="6" t="s">
        <v>131</v>
      </c>
      <c r="D6">
        <v>3</v>
      </c>
      <c r="F6">
        <v>160</v>
      </c>
      <c r="G6">
        <v>160</v>
      </c>
      <c r="H6">
        <v>32</v>
      </c>
      <c r="I6">
        <v>160</v>
      </c>
      <c r="J6">
        <v>160</v>
      </c>
      <c r="K6">
        <v>16</v>
      </c>
      <c r="L6">
        <v>1</v>
      </c>
      <c r="M6" t="s">
        <v>17</v>
      </c>
      <c r="N6">
        <f t="shared" si="0"/>
        <v>5120</v>
      </c>
      <c r="O6">
        <f t="shared" si="1"/>
        <v>2560</v>
      </c>
      <c r="R6">
        <f t="shared" si="2"/>
        <v>640</v>
      </c>
    </row>
    <row r="7" spans="1:18" x14ac:dyDescent="0.25">
      <c r="A7" s="5" t="s">
        <v>179</v>
      </c>
      <c r="B7" s="6" t="s">
        <v>131</v>
      </c>
      <c r="D7">
        <v>4</v>
      </c>
      <c r="F7">
        <v>160</v>
      </c>
      <c r="G7">
        <v>160</v>
      </c>
      <c r="H7">
        <v>32</v>
      </c>
      <c r="I7">
        <v>160</v>
      </c>
      <c r="J7">
        <v>160</v>
      </c>
      <c r="K7">
        <v>16</v>
      </c>
      <c r="L7">
        <v>1</v>
      </c>
      <c r="M7" t="s">
        <v>17</v>
      </c>
      <c r="N7">
        <f t="shared" si="0"/>
        <v>5120</v>
      </c>
      <c r="O7">
        <f t="shared" si="1"/>
        <v>2560</v>
      </c>
      <c r="R7">
        <f t="shared" si="2"/>
        <v>640</v>
      </c>
    </row>
    <row r="8" spans="1:18" x14ac:dyDescent="0.25">
      <c r="A8" t="s">
        <v>18</v>
      </c>
      <c r="B8" s="6" t="s">
        <v>132</v>
      </c>
      <c r="D8">
        <v>5</v>
      </c>
      <c r="F8">
        <v>160</v>
      </c>
      <c r="G8">
        <v>160</v>
      </c>
      <c r="H8">
        <v>16</v>
      </c>
      <c r="I8">
        <v>160</v>
      </c>
      <c r="J8">
        <v>160</v>
      </c>
      <c r="K8">
        <v>16</v>
      </c>
      <c r="L8">
        <v>1</v>
      </c>
      <c r="M8" t="s">
        <v>17</v>
      </c>
      <c r="N8">
        <f t="shared" si="0"/>
        <v>2560</v>
      </c>
      <c r="O8">
        <f t="shared" si="1"/>
        <v>2560</v>
      </c>
      <c r="R8">
        <f t="shared" si="2"/>
        <v>384</v>
      </c>
    </row>
    <row r="9" spans="1:18" s="1" customFormat="1" x14ac:dyDescent="0.25">
      <c r="A9" s="1" t="s">
        <v>19</v>
      </c>
      <c r="B9" s="7" t="s">
        <v>133</v>
      </c>
      <c r="D9" s="1">
        <v>6</v>
      </c>
      <c r="F9" s="1">
        <v>160</v>
      </c>
      <c r="G9" s="1">
        <v>160</v>
      </c>
      <c r="H9" s="1">
        <v>16</v>
      </c>
      <c r="I9" s="1">
        <v>160</v>
      </c>
      <c r="J9" s="1">
        <v>160</v>
      </c>
      <c r="K9" s="1">
        <v>16</v>
      </c>
      <c r="L9" s="1">
        <v>1</v>
      </c>
      <c r="M9" s="1" t="s">
        <v>20</v>
      </c>
      <c r="N9" s="1">
        <f t="shared" si="0"/>
        <v>2560</v>
      </c>
      <c r="O9" s="1">
        <f t="shared" si="1"/>
        <v>2560</v>
      </c>
      <c r="Q9">
        <f>H9*K9*9+(K9/2)*16</f>
        <v>2432</v>
      </c>
      <c r="R9">
        <f t="shared" si="2"/>
        <v>384</v>
      </c>
    </row>
    <row r="10" spans="1:18" x14ac:dyDescent="0.25">
      <c r="A10" t="s">
        <v>21</v>
      </c>
      <c r="B10" s="6" t="s">
        <v>134</v>
      </c>
      <c r="D10">
        <v>7</v>
      </c>
      <c r="F10">
        <v>160</v>
      </c>
      <c r="G10">
        <v>160</v>
      </c>
      <c r="H10">
        <v>32</v>
      </c>
      <c r="I10">
        <v>160</v>
      </c>
      <c r="J10">
        <v>160</v>
      </c>
      <c r="K10">
        <v>32</v>
      </c>
      <c r="L10">
        <v>1</v>
      </c>
      <c r="M10" t="s">
        <v>22</v>
      </c>
      <c r="N10">
        <f t="shared" si="0"/>
        <v>5120</v>
      </c>
      <c r="O10">
        <f t="shared" si="1"/>
        <v>5120</v>
      </c>
      <c r="R10">
        <f t="shared" si="2"/>
        <v>1280</v>
      </c>
    </row>
    <row r="11" spans="1:18" s="1" customFormat="1" x14ac:dyDescent="0.25">
      <c r="A11" s="1" t="s">
        <v>23</v>
      </c>
      <c r="B11" s="7" t="s">
        <v>135</v>
      </c>
      <c r="D11" s="1">
        <v>8</v>
      </c>
      <c r="F11" s="1">
        <v>160</v>
      </c>
      <c r="G11" s="1">
        <v>160</v>
      </c>
      <c r="H11" s="1">
        <v>32</v>
      </c>
      <c r="I11" s="1">
        <v>80</v>
      </c>
      <c r="J11" s="1">
        <v>80</v>
      </c>
      <c r="K11" s="1">
        <v>64</v>
      </c>
      <c r="L11" s="1">
        <v>2</v>
      </c>
      <c r="M11" s="1" t="s">
        <v>20</v>
      </c>
      <c r="N11" s="1">
        <f t="shared" si="0"/>
        <v>5120</v>
      </c>
      <c r="O11" s="1">
        <f t="shared" si="1"/>
        <v>5120</v>
      </c>
      <c r="Q11">
        <f>H11*K11*9+(K11/2)*16</f>
        <v>18944</v>
      </c>
      <c r="R11">
        <f t="shared" si="2"/>
        <v>2560</v>
      </c>
    </row>
    <row r="12" spans="1:18" x14ac:dyDescent="0.25">
      <c r="A12" t="s">
        <v>24</v>
      </c>
      <c r="B12" s="6" t="s">
        <v>136</v>
      </c>
      <c r="D12">
        <v>9</v>
      </c>
      <c r="F12">
        <v>80</v>
      </c>
      <c r="G12">
        <v>80</v>
      </c>
      <c r="H12">
        <v>64</v>
      </c>
      <c r="I12">
        <v>80</v>
      </c>
      <c r="J12">
        <v>80</v>
      </c>
      <c r="K12">
        <v>32</v>
      </c>
      <c r="L12">
        <v>1</v>
      </c>
      <c r="M12" t="s">
        <v>22</v>
      </c>
      <c r="N12">
        <f t="shared" si="0"/>
        <v>5120</v>
      </c>
      <c r="O12">
        <f t="shared" si="1"/>
        <v>2560</v>
      </c>
      <c r="R12">
        <f t="shared" si="2"/>
        <v>2304</v>
      </c>
    </row>
    <row r="13" spans="1:18" x14ac:dyDescent="0.25">
      <c r="A13" t="s">
        <v>25</v>
      </c>
      <c r="B13" s="6" t="s">
        <v>136</v>
      </c>
      <c r="D13">
        <v>10</v>
      </c>
      <c r="F13">
        <v>80</v>
      </c>
      <c r="G13">
        <v>80</v>
      </c>
      <c r="H13">
        <v>64</v>
      </c>
      <c r="I13">
        <v>80</v>
      </c>
      <c r="J13">
        <v>80</v>
      </c>
      <c r="K13">
        <v>32</v>
      </c>
      <c r="L13">
        <v>1</v>
      </c>
      <c r="M13" t="s">
        <v>22</v>
      </c>
      <c r="N13">
        <f t="shared" si="0"/>
        <v>5120</v>
      </c>
      <c r="O13">
        <f t="shared" si="1"/>
        <v>2560</v>
      </c>
      <c r="R13">
        <f t="shared" si="2"/>
        <v>2304</v>
      </c>
    </row>
    <row r="14" spans="1:18" x14ac:dyDescent="0.25">
      <c r="A14" t="s">
        <v>26</v>
      </c>
      <c r="B14" s="6" t="s">
        <v>137</v>
      </c>
      <c r="D14">
        <v>11</v>
      </c>
      <c r="F14">
        <v>80</v>
      </c>
      <c r="G14">
        <v>80</v>
      </c>
      <c r="H14">
        <v>32</v>
      </c>
      <c r="I14">
        <v>80</v>
      </c>
      <c r="J14">
        <v>80</v>
      </c>
      <c r="K14">
        <v>32</v>
      </c>
      <c r="L14">
        <v>1</v>
      </c>
      <c r="M14" t="s">
        <v>22</v>
      </c>
      <c r="N14">
        <f t="shared" si="0"/>
        <v>2560</v>
      </c>
      <c r="O14">
        <f t="shared" si="1"/>
        <v>2560</v>
      </c>
      <c r="R14">
        <f t="shared" si="2"/>
        <v>1280</v>
      </c>
    </row>
    <row r="15" spans="1:18" s="1" customFormat="1" x14ac:dyDescent="0.25">
      <c r="A15" s="1" t="s">
        <v>27</v>
      </c>
      <c r="B15" s="7" t="s">
        <v>138</v>
      </c>
      <c r="D15" s="1">
        <v>12</v>
      </c>
      <c r="F15" s="1">
        <v>80</v>
      </c>
      <c r="G15" s="1">
        <v>80</v>
      </c>
      <c r="H15" s="1">
        <v>32</v>
      </c>
      <c r="I15" s="1">
        <v>80</v>
      </c>
      <c r="J15" s="1">
        <v>80</v>
      </c>
      <c r="K15" s="1">
        <v>32</v>
      </c>
      <c r="L15" s="1">
        <v>1</v>
      </c>
      <c r="M15" s="1" t="s">
        <v>20</v>
      </c>
      <c r="N15" s="1">
        <f t="shared" si="0"/>
        <v>2560</v>
      </c>
      <c r="O15" s="1">
        <f t="shared" si="1"/>
        <v>2560</v>
      </c>
      <c r="Q15">
        <f>H15*K15*9+(K15/2)*16</f>
        <v>9472</v>
      </c>
      <c r="R15">
        <f t="shared" si="2"/>
        <v>1280</v>
      </c>
    </row>
    <row r="16" spans="1:18" x14ac:dyDescent="0.25">
      <c r="A16" t="s">
        <v>28</v>
      </c>
      <c r="B16" s="6" t="s">
        <v>139</v>
      </c>
      <c r="D16">
        <v>13</v>
      </c>
      <c r="F16">
        <v>80</v>
      </c>
      <c r="G16">
        <v>80</v>
      </c>
      <c r="H16">
        <v>32</v>
      </c>
      <c r="I16">
        <v>80</v>
      </c>
      <c r="J16">
        <v>80</v>
      </c>
      <c r="K16">
        <v>32</v>
      </c>
      <c r="L16">
        <v>1</v>
      </c>
      <c r="M16" t="s">
        <v>22</v>
      </c>
      <c r="N16">
        <f t="shared" si="0"/>
        <v>2560</v>
      </c>
      <c r="O16">
        <f t="shared" si="1"/>
        <v>2560</v>
      </c>
      <c r="R16">
        <f t="shared" si="2"/>
        <v>1280</v>
      </c>
    </row>
    <row r="17" spans="1:18" s="1" customFormat="1" x14ac:dyDescent="0.25">
      <c r="A17" s="1" t="s">
        <v>29</v>
      </c>
      <c r="B17" s="7" t="s">
        <v>140</v>
      </c>
      <c r="D17" s="1">
        <v>14</v>
      </c>
      <c r="F17" s="1">
        <v>80</v>
      </c>
      <c r="G17" s="1">
        <v>80</v>
      </c>
      <c r="H17" s="1">
        <v>32</v>
      </c>
      <c r="I17" s="1">
        <v>80</v>
      </c>
      <c r="J17" s="1">
        <v>80</v>
      </c>
      <c r="K17" s="1">
        <v>32</v>
      </c>
      <c r="L17" s="1">
        <v>1</v>
      </c>
      <c r="M17" s="1" t="s">
        <v>20</v>
      </c>
      <c r="N17" s="1">
        <f t="shared" si="0"/>
        <v>2560</v>
      </c>
      <c r="O17" s="1">
        <f t="shared" si="1"/>
        <v>2560</v>
      </c>
      <c r="Q17">
        <f>H17*K17*9+(K17/2)*16</f>
        <v>9472</v>
      </c>
      <c r="R17">
        <f t="shared" si="2"/>
        <v>1280</v>
      </c>
    </row>
    <row r="18" spans="1:18" x14ac:dyDescent="0.25">
      <c r="A18" t="s">
        <v>30</v>
      </c>
      <c r="B18" s="6" t="s">
        <v>141</v>
      </c>
      <c r="D18">
        <v>15</v>
      </c>
      <c r="F18">
        <v>80</v>
      </c>
      <c r="G18">
        <v>80</v>
      </c>
      <c r="H18">
        <v>64</v>
      </c>
      <c r="I18">
        <v>80</v>
      </c>
      <c r="J18">
        <v>80</v>
      </c>
      <c r="K18">
        <v>64</v>
      </c>
      <c r="L18">
        <v>1</v>
      </c>
      <c r="M18" t="s">
        <v>22</v>
      </c>
      <c r="N18">
        <f t="shared" si="0"/>
        <v>5120</v>
      </c>
      <c r="O18">
        <f t="shared" si="1"/>
        <v>5120</v>
      </c>
      <c r="R18">
        <f t="shared" si="2"/>
        <v>4608</v>
      </c>
    </row>
    <row r="19" spans="1:18" s="1" customFormat="1" x14ac:dyDescent="0.25">
      <c r="A19" s="1" t="s">
        <v>31</v>
      </c>
      <c r="B19" s="7" t="s">
        <v>142</v>
      </c>
      <c r="D19" s="1">
        <v>16</v>
      </c>
      <c r="F19" s="1">
        <v>80</v>
      </c>
      <c r="G19" s="1">
        <v>80</v>
      </c>
      <c r="H19" s="1">
        <v>64</v>
      </c>
      <c r="I19" s="1">
        <v>40</v>
      </c>
      <c r="J19" s="1">
        <v>40</v>
      </c>
      <c r="K19" s="1">
        <v>128</v>
      </c>
      <c r="L19" s="1">
        <v>2</v>
      </c>
      <c r="M19" s="1" t="s">
        <v>20</v>
      </c>
      <c r="N19" s="1">
        <f t="shared" si="0"/>
        <v>5120</v>
      </c>
      <c r="O19" s="1">
        <f t="shared" si="1"/>
        <v>5120</v>
      </c>
      <c r="Q19">
        <f>H19*K19*9+(K19/2)*16</f>
        <v>74752</v>
      </c>
      <c r="R19">
        <f t="shared" si="2"/>
        <v>9216</v>
      </c>
    </row>
    <row r="20" spans="1:18" x14ac:dyDescent="0.25">
      <c r="A20" t="s">
        <v>32</v>
      </c>
      <c r="B20" s="6" t="s">
        <v>143</v>
      </c>
      <c r="D20">
        <v>17</v>
      </c>
      <c r="F20">
        <v>40</v>
      </c>
      <c r="G20">
        <v>40</v>
      </c>
      <c r="H20">
        <v>128</v>
      </c>
      <c r="I20">
        <v>40</v>
      </c>
      <c r="J20">
        <v>40</v>
      </c>
      <c r="K20">
        <v>64</v>
      </c>
      <c r="L20">
        <v>1</v>
      </c>
      <c r="M20" t="s">
        <v>22</v>
      </c>
      <c r="N20">
        <f t="shared" si="0"/>
        <v>5120</v>
      </c>
      <c r="O20">
        <f t="shared" si="1"/>
        <v>2560</v>
      </c>
      <c r="R20">
        <f t="shared" si="2"/>
        <v>8704</v>
      </c>
    </row>
    <row r="21" spans="1:18" x14ac:dyDescent="0.25">
      <c r="A21" t="s">
        <v>33</v>
      </c>
      <c r="B21" s="6" t="s">
        <v>143</v>
      </c>
      <c r="D21">
        <v>18</v>
      </c>
      <c r="F21">
        <v>40</v>
      </c>
      <c r="G21">
        <v>40</v>
      </c>
      <c r="H21">
        <v>128</v>
      </c>
      <c r="I21">
        <v>40</v>
      </c>
      <c r="J21">
        <v>40</v>
      </c>
      <c r="K21">
        <v>64</v>
      </c>
      <c r="L21">
        <v>1</v>
      </c>
      <c r="M21" t="s">
        <v>22</v>
      </c>
      <c r="N21">
        <f t="shared" si="0"/>
        <v>5120</v>
      </c>
      <c r="O21">
        <f t="shared" si="1"/>
        <v>2560</v>
      </c>
      <c r="R21">
        <f t="shared" si="2"/>
        <v>8704</v>
      </c>
    </row>
    <row r="22" spans="1:18" x14ac:dyDescent="0.25">
      <c r="A22" t="s">
        <v>34</v>
      </c>
      <c r="B22" s="6" t="s">
        <v>144</v>
      </c>
      <c r="D22">
        <v>19</v>
      </c>
      <c r="F22">
        <v>40</v>
      </c>
      <c r="G22">
        <v>40</v>
      </c>
      <c r="H22">
        <v>64</v>
      </c>
      <c r="I22">
        <v>40</v>
      </c>
      <c r="J22">
        <v>40</v>
      </c>
      <c r="K22">
        <v>64</v>
      </c>
      <c r="L22">
        <v>1</v>
      </c>
      <c r="M22" t="s">
        <v>22</v>
      </c>
      <c r="N22">
        <f t="shared" si="0"/>
        <v>2560</v>
      </c>
      <c r="O22">
        <f t="shared" si="1"/>
        <v>2560</v>
      </c>
      <c r="R22">
        <f t="shared" si="2"/>
        <v>4608</v>
      </c>
    </row>
    <row r="23" spans="1:18" s="1" customFormat="1" x14ac:dyDescent="0.25">
      <c r="A23" s="1" t="s">
        <v>35</v>
      </c>
      <c r="B23" s="7" t="s">
        <v>145</v>
      </c>
      <c r="D23" s="1">
        <v>20</v>
      </c>
      <c r="F23" s="1">
        <v>40</v>
      </c>
      <c r="G23" s="1">
        <v>40</v>
      </c>
      <c r="H23" s="1">
        <v>64</v>
      </c>
      <c r="I23" s="1">
        <v>40</v>
      </c>
      <c r="J23" s="1">
        <v>40</v>
      </c>
      <c r="K23" s="1">
        <v>64</v>
      </c>
      <c r="L23" s="1">
        <v>1</v>
      </c>
      <c r="M23" s="1" t="s">
        <v>20</v>
      </c>
      <c r="N23" s="1">
        <f t="shared" si="0"/>
        <v>2560</v>
      </c>
      <c r="O23" s="1">
        <f t="shared" si="1"/>
        <v>2560</v>
      </c>
      <c r="Q23">
        <f>H23*K23*9+(K23/2)*16</f>
        <v>37376</v>
      </c>
      <c r="R23">
        <f t="shared" si="2"/>
        <v>4608</v>
      </c>
    </row>
    <row r="24" spans="1:18" x14ac:dyDescent="0.25">
      <c r="A24" t="s">
        <v>36</v>
      </c>
      <c r="B24" s="6" t="s">
        <v>146</v>
      </c>
      <c r="D24">
        <v>21</v>
      </c>
      <c r="F24">
        <v>40</v>
      </c>
      <c r="G24">
        <v>40</v>
      </c>
      <c r="H24">
        <v>64</v>
      </c>
      <c r="I24">
        <v>40</v>
      </c>
      <c r="J24">
        <v>40</v>
      </c>
      <c r="K24">
        <v>64</v>
      </c>
      <c r="L24">
        <v>1</v>
      </c>
      <c r="M24" t="s">
        <v>22</v>
      </c>
      <c r="N24">
        <f t="shared" si="0"/>
        <v>2560</v>
      </c>
      <c r="O24">
        <f t="shared" si="1"/>
        <v>2560</v>
      </c>
      <c r="R24">
        <f t="shared" si="2"/>
        <v>4608</v>
      </c>
    </row>
    <row r="25" spans="1:18" s="1" customFormat="1" x14ac:dyDescent="0.25">
      <c r="A25" s="1" t="s">
        <v>37</v>
      </c>
      <c r="B25" s="7" t="s">
        <v>147</v>
      </c>
      <c r="D25" s="1">
        <v>22</v>
      </c>
      <c r="F25" s="1">
        <v>40</v>
      </c>
      <c r="G25" s="1">
        <v>40</v>
      </c>
      <c r="H25" s="1">
        <v>64</v>
      </c>
      <c r="I25" s="1">
        <v>40</v>
      </c>
      <c r="J25" s="1">
        <v>40</v>
      </c>
      <c r="K25" s="1">
        <v>64</v>
      </c>
      <c r="L25" s="1">
        <v>1</v>
      </c>
      <c r="M25" s="1" t="s">
        <v>20</v>
      </c>
      <c r="N25" s="1">
        <f t="shared" si="0"/>
        <v>2560</v>
      </c>
      <c r="O25" s="1">
        <f t="shared" si="1"/>
        <v>2560</v>
      </c>
      <c r="Q25">
        <f>H25*K25*9+(K25/2)*16</f>
        <v>37376</v>
      </c>
      <c r="R25">
        <f t="shared" si="2"/>
        <v>4608</v>
      </c>
    </row>
    <row r="26" spans="1:18" x14ac:dyDescent="0.25">
      <c r="A26" t="s">
        <v>38</v>
      </c>
      <c r="B26" s="6" t="s">
        <v>148</v>
      </c>
      <c r="D26">
        <v>23</v>
      </c>
      <c r="F26">
        <v>40</v>
      </c>
      <c r="G26">
        <v>40</v>
      </c>
      <c r="H26">
        <v>64</v>
      </c>
      <c r="I26">
        <v>40</v>
      </c>
      <c r="J26">
        <v>40</v>
      </c>
      <c r="K26">
        <v>64</v>
      </c>
      <c r="L26">
        <v>1</v>
      </c>
      <c r="M26" t="s">
        <v>22</v>
      </c>
      <c r="N26">
        <f t="shared" si="0"/>
        <v>2560</v>
      </c>
      <c r="O26">
        <f t="shared" si="1"/>
        <v>2560</v>
      </c>
      <c r="R26">
        <f t="shared" si="2"/>
        <v>4608</v>
      </c>
    </row>
    <row r="27" spans="1:18" s="1" customFormat="1" x14ac:dyDescent="0.25">
      <c r="A27" s="1" t="s">
        <v>39</v>
      </c>
      <c r="B27" s="7" t="s">
        <v>149</v>
      </c>
      <c r="D27" s="1">
        <v>24</v>
      </c>
      <c r="F27" s="1">
        <v>40</v>
      </c>
      <c r="G27" s="1">
        <v>40</v>
      </c>
      <c r="H27" s="1">
        <v>64</v>
      </c>
      <c r="I27" s="1">
        <v>40</v>
      </c>
      <c r="J27" s="1">
        <v>40</v>
      </c>
      <c r="K27" s="1">
        <v>64</v>
      </c>
      <c r="L27" s="1">
        <v>1</v>
      </c>
      <c r="M27" s="1" t="s">
        <v>20</v>
      </c>
      <c r="N27" s="1">
        <f t="shared" si="0"/>
        <v>2560</v>
      </c>
      <c r="O27" s="1">
        <f t="shared" si="1"/>
        <v>2560</v>
      </c>
      <c r="Q27">
        <f>H27*K27*9+(K27/2)*16</f>
        <v>37376</v>
      </c>
      <c r="R27">
        <f t="shared" si="2"/>
        <v>4608</v>
      </c>
    </row>
    <row r="28" spans="1:18" x14ac:dyDescent="0.25">
      <c r="A28" t="s">
        <v>40</v>
      </c>
      <c r="B28" s="6" t="s">
        <v>150</v>
      </c>
      <c r="D28">
        <v>25</v>
      </c>
      <c r="F28">
        <v>40</v>
      </c>
      <c r="G28">
        <v>40</v>
      </c>
      <c r="H28">
        <v>128</v>
      </c>
      <c r="I28">
        <v>40</v>
      </c>
      <c r="J28">
        <v>40</v>
      </c>
      <c r="K28">
        <v>128</v>
      </c>
      <c r="L28">
        <v>1</v>
      </c>
      <c r="M28" t="s">
        <v>22</v>
      </c>
      <c r="N28">
        <f t="shared" si="0"/>
        <v>5120</v>
      </c>
      <c r="O28">
        <f t="shared" si="1"/>
        <v>5120</v>
      </c>
      <c r="R28">
        <f t="shared" si="2"/>
        <v>17408</v>
      </c>
    </row>
    <row r="29" spans="1:18" s="1" customFormat="1" x14ac:dyDescent="0.25">
      <c r="A29" s="1" t="s">
        <v>41</v>
      </c>
      <c r="B29" s="7" t="s">
        <v>151</v>
      </c>
      <c r="D29" s="1">
        <v>26</v>
      </c>
      <c r="F29" s="1">
        <v>20</v>
      </c>
      <c r="G29" s="1">
        <v>20</v>
      </c>
      <c r="H29" s="1">
        <v>128</v>
      </c>
      <c r="I29" s="1">
        <v>20</v>
      </c>
      <c r="J29" s="1">
        <v>20</v>
      </c>
      <c r="K29" s="1">
        <v>256</v>
      </c>
      <c r="L29" s="1">
        <v>2</v>
      </c>
      <c r="M29" s="1" t="s">
        <v>20</v>
      </c>
      <c r="N29" s="1">
        <f t="shared" si="0"/>
        <v>2560</v>
      </c>
      <c r="O29" s="1">
        <f t="shared" si="1"/>
        <v>5120</v>
      </c>
      <c r="Q29">
        <f>H29*K29*9+(K29/2)*16</f>
        <v>296960</v>
      </c>
      <c r="R29">
        <f t="shared" si="2"/>
        <v>34816</v>
      </c>
    </row>
    <row r="30" spans="1:18" x14ac:dyDescent="0.25">
      <c r="A30" t="s">
        <v>42</v>
      </c>
      <c r="B30" s="6" t="s">
        <v>152</v>
      </c>
      <c r="D30">
        <v>27</v>
      </c>
      <c r="F30">
        <v>20</v>
      </c>
      <c r="G30">
        <v>20</v>
      </c>
      <c r="H30">
        <v>256</v>
      </c>
      <c r="I30">
        <v>20</v>
      </c>
      <c r="J30">
        <v>20</v>
      </c>
      <c r="K30">
        <v>128</v>
      </c>
      <c r="L30">
        <v>1</v>
      </c>
      <c r="M30" t="s">
        <v>22</v>
      </c>
      <c r="N30">
        <f t="shared" si="0"/>
        <v>5120</v>
      </c>
      <c r="O30">
        <f t="shared" si="1"/>
        <v>2560</v>
      </c>
      <c r="R30">
        <f t="shared" si="2"/>
        <v>33792</v>
      </c>
    </row>
    <row r="31" spans="1:18" x14ac:dyDescent="0.25">
      <c r="A31" t="s">
        <v>43</v>
      </c>
      <c r="B31" s="6" t="s">
        <v>152</v>
      </c>
      <c r="D31">
        <v>28</v>
      </c>
      <c r="F31">
        <v>20</v>
      </c>
      <c r="G31">
        <v>20</v>
      </c>
      <c r="H31">
        <v>256</v>
      </c>
      <c r="I31">
        <v>20</v>
      </c>
      <c r="J31">
        <v>20</v>
      </c>
      <c r="K31">
        <v>128</v>
      </c>
      <c r="L31">
        <v>1</v>
      </c>
      <c r="M31" t="s">
        <v>22</v>
      </c>
      <c r="N31">
        <f t="shared" si="0"/>
        <v>5120</v>
      </c>
      <c r="O31">
        <f t="shared" si="1"/>
        <v>2560</v>
      </c>
      <c r="R31">
        <f t="shared" si="2"/>
        <v>33792</v>
      </c>
    </row>
    <row r="32" spans="1:18" x14ac:dyDescent="0.25">
      <c r="A32" t="s">
        <v>44</v>
      </c>
      <c r="B32" s="6" t="s">
        <v>153</v>
      </c>
      <c r="D32">
        <v>29</v>
      </c>
      <c r="F32">
        <v>20</v>
      </c>
      <c r="G32">
        <v>20</v>
      </c>
      <c r="H32">
        <v>128</v>
      </c>
      <c r="I32">
        <v>20</v>
      </c>
      <c r="J32">
        <v>20</v>
      </c>
      <c r="K32">
        <v>128</v>
      </c>
      <c r="L32">
        <v>1</v>
      </c>
      <c r="M32" t="s">
        <v>22</v>
      </c>
      <c r="N32">
        <f t="shared" si="0"/>
        <v>2560</v>
      </c>
      <c r="O32">
        <f t="shared" si="1"/>
        <v>2560</v>
      </c>
      <c r="R32">
        <f t="shared" si="2"/>
        <v>17408</v>
      </c>
    </row>
    <row r="33" spans="1:18" s="1" customFormat="1" x14ac:dyDescent="0.25">
      <c r="A33" s="1" t="s">
        <v>45</v>
      </c>
      <c r="B33" s="7" t="s">
        <v>154</v>
      </c>
      <c r="D33" s="1">
        <v>30</v>
      </c>
      <c r="F33" s="1">
        <v>20</v>
      </c>
      <c r="G33" s="1">
        <v>20</v>
      </c>
      <c r="H33" s="1">
        <v>128</v>
      </c>
      <c r="I33" s="1">
        <v>20</v>
      </c>
      <c r="J33" s="1">
        <v>20</v>
      </c>
      <c r="K33" s="1">
        <v>128</v>
      </c>
      <c r="L33" s="1">
        <v>1</v>
      </c>
      <c r="M33" s="1" t="s">
        <v>20</v>
      </c>
      <c r="N33" s="1">
        <f t="shared" si="0"/>
        <v>2560</v>
      </c>
      <c r="O33" s="1">
        <f t="shared" si="1"/>
        <v>2560</v>
      </c>
      <c r="Q33">
        <f>H33*K33*9+(K33/2)*16</f>
        <v>148480</v>
      </c>
      <c r="R33">
        <f t="shared" si="2"/>
        <v>17408</v>
      </c>
    </row>
    <row r="34" spans="1:18" x14ac:dyDescent="0.25">
      <c r="A34" t="s">
        <v>46</v>
      </c>
      <c r="B34" s="6" t="s">
        <v>155</v>
      </c>
      <c r="D34">
        <v>31</v>
      </c>
      <c r="F34">
        <v>20</v>
      </c>
      <c r="G34">
        <v>20</v>
      </c>
      <c r="H34">
        <v>256</v>
      </c>
      <c r="I34">
        <v>20</v>
      </c>
      <c r="J34">
        <v>20</v>
      </c>
      <c r="K34">
        <v>256</v>
      </c>
      <c r="L34">
        <v>1</v>
      </c>
      <c r="M34" t="s">
        <v>22</v>
      </c>
      <c r="N34">
        <f t="shared" si="0"/>
        <v>5120</v>
      </c>
      <c r="O34">
        <f t="shared" si="1"/>
        <v>5120</v>
      </c>
      <c r="R34">
        <f t="shared" si="2"/>
        <v>67584</v>
      </c>
    </row>
    <row r="35" spans="1:18" x14ac:dyDescent="0.25">
      <c r="A35" t="s">
        <v>47</v>
      </c>
      <c r="B35" s="6" t="s">
        <v>156</v>
      </c>
      <c r="D35">
        <v>32</v>
      </c>
      <c r="F35">
        <v>20</v>
      </c>
      <c r="G35">
        <v>20</v>
      </c>
      <c r="H35">
        <v>256</v>
      </c>
      <c r="I35">
        <v>20</v>
      </c>
      <c r="J35">
        <v>20</v>
      </c>
      <c r="K35">
        <v>128</v>
      </c>
      <c r="L35">
        <v>1</v>
      </c>
      <c r="M35" t="s">
        <v>22</v>
      </c>
      <c r="N35">
        <f t="shared" si="0"/>
        <v>5120</v>
      </c>
      <c r="O35">
        <f t="shared" si="1"/>
        <v>2560</v>
      </c>
      <c r="R35">
        <f t="shared" si="2"/>
        <v>33792</v>
      </c>
    </row>
    <row r="36" spans="1:18" x14ac:dyDescent="0.25">
      <c r="A36" t="s">
        <v>48</v>
      </c>
      <c r="B36" s="6" t="s">
        <v>157</v>
      </c>
      <c r="D36">
        <v>33</v>
      </c>
      <c r="F36">
        <v>20</v>
      </c>
      <c r="G36">
        <v>20</v>
      </c>
      <c r="H36">
        <v>512</v>
      </c>
      <c r="I36">
        <v>20</v>
      </c>
      <c r="J36">
        <v>20</v>
      </c>
      <c r="K36">
        <v>256</v>
      </c>
      <c r="L36">
        <v>1</v>
      </c>
      <c r="M36" t="s">
        <v>22</v>
      </c>
      <c r="N36">
        <f t="shared" si="0"/>
        <v>10240</v>
      </c>
      <c r="O36">
        <f t="shared" si="1"/>
        <v>5120</v>
      </c>
      <c r="R36">
        <f t="shared" ref="R36:R64" si="3">H36*K36+(K36/2)*16</f>
        <v>133120</v>
      </c>
    </row>
    <row r="37" spans="1:18" x14ac:dyDescent="0.25">
      <c r="A37" t="s">
        <v>49</v>
      </c>
      <c r="B37" s="6" t="s">
        <v>158</v>
      </c>
      <c r="D37">
        <v>34</v>
      </c>
      <c r="F37">
        <v>20</v>
      </c>
      <c r="G37">
        <v>20</v>
      </c>
      <c r="H37">
        <v>256</v>
      </c>
      <c r="I37">
        <v>20</v>
      </c>
      <c r="J37">
        <v>20</v>
      </c>
      <c r="K37">
        <v>128</v>
      </c>
      <c r="L37">
        <v>1</v>
      </c>
      <c r="M37" t="s">
        <v>22</v>
      </c>
      <c r="N37">
        <f t="shared" si="0"/>
        <v>5120</v>
      </c>
      <c r="O37">
        <f t="shared" si="1"/>
        <v>2560</v>
      </c>
      <c r="R37">
        <f t="shared" si="3"/>
        <v>33792</v>
      </c>
    </row>
    <row r="38" spans="1:18" x14ac:dyDescent="0.25">
      <c r="A38" t="s">
        <v>50</v>
      </c>
      <c r="B38" s="6" t="s">
        <v>159</v>
      </c>
      <c r="D38">
        <v>35</v>
      </c>
      <c r="F38">
        <v>40</v>
      </c>
      <c r="G38">
        <v>40</v>
      </c>
      <c r="H38">
        <v>256</v>
      </c>
      <c r="I38">
        <v>40</v>
      </c>
      <c r="J38">
        <v>40</v>
      </c>
      <c r="K38">
        <v>64</v>
      </c>
      <c r="L38">
        <v>1</v>
      </c>
      <c r="M38" t="s">
        <v>22</v>
      </c>
      <c r="N38">
        <f t="shared" si="0"/>
        <v>10240</v>
      </c>
      <c r="O38">
        <f t="shared" si="1"/>
        <v>2560</v>
      </c>
      <c r="R38">
        <f t="shared" si="3"/>
        <v>16896</v>
      </c>
    </row>
    <row r="39" spans="1:18" x14ac:dyDescent="0.25">
      <c r="A39" t="s">
        <v>51</v>
      </c>
      <c r="B39" s="6" t="s">
        <v>159</v>
      </c>
      <c r="D39">
        <v>36</v>
      </c>
      <c r="F39">
        <v>40</v>
      </c>
      <c r="G39">
        <v>40</v>
      </c>
      <c r="H39">
        <v>256</v>
      </c>
      <c r="I39">
        <v>40</v>
      </c>
      <c r="J39">
        <v>40</v>
      </c>
      <c r="K39">
        <v>64</v>
      </c>
      <c r="L39">
        <v>1</v>
      </c>
      <c r="M39" t="s">
        <v>22</v>
      </c>
      <c r="N39">
        <f t="shared" si="0"/>
        <v>10240</v>
      </c>
      <c r="O39">
        <f t="shared" si="1"/>
        <v>2560</v>
      </c>
      <c r="R39">
        <f t="shared" si="3"/>
        <v>16896</v>
      </c>
    </row>
    <row r="40" spans="1:18" x14ac:dyDescent="0.25">
      <c r="A40" t="s">
        <v>52</v>
      </c>
      <c r="B40" s="6" t="s">
        <v>160</v>
      </c>
      <c r="D40">
        <v>37</v>
      </c>
      <c r="F40">
        <v>40</v>
      </c>
      <c r="G40">
        <v>40</v>
      </c>
      <c r="H40">
        <v>64</v>
      </c>
      <c r="I40">
        <v>40</v>
      </c>
      <c r="J40">
        <v>40</v>
      </c>
      <c r="K40">
        <v>64</v>
      </c>
      <c r="L40">
        <v>1</v>
      </c>
      <c r="M40" t="s">
        <v>22</v>
      </c>
      <c r="N40">
        <f t="shared" si="0"/>
        <v>2560</v>
      </c>
      <c r="O40">
        <f t="shared" si="1"/>
        <v>2560</v>
      </c>
      <c r="R40">
        <f t="shared" si="3"/>
        <v>4608</v>
      </c>
    </row>
    <row r="41" spans="1:18" s="1" customFormat="1" ht="15" customHeight="1" x14ac:dyDescent="0.25">
      <c r="A41" s="1" t="s">
        <v>53</v>
      </c>
      <c r="B41" s="7" t="s">
        <v>161</v>
      </c>
      <c r="D41" s="1">
        <v>38</v>
      </c>
      <c r="F41" s="1">
        <v>40</v>
      </c>
      <c r="G41" s="1">
        <v>40</v>
      </c>
      <c r="H41" s="1">
        <v>64</v>
      </c>
      <c r="I41" s="1">
        <v>40</v>
      </c>
      <c r="J41" s="1">
        <v>40</v>
      </c>
      <c r="K41" s="1">
        <v>64</v>
      </c>
      <c r="L41" s="1">
        <v>1</v>
      </c>
      <c r="M41" s="1" t="s">
        <v>20</v>
      </c>
      <c r="N41" s="1">
        <f t="shared" si="0"/>
        <v>2560</v>
      </c>
      <c r="O41" s="1">
        <f t="shared" si="1"/>
        <v>2560</v>
      </c>
      <c r="Q41">
        <f>H41*K41*9+(K41/2)*16</f>
        <v>37376</v>
      </c>
      <c r="R41">
        <f t="shared" si="3"/>
        <v>4608</v>
      </c>
    </row>
    <row r="42" spans="1:18" x14ac:dyDescent="0.25">
      <c r="A42" t="s">
        <v>54</v>
      </c>
      <c r="B42" s="6" t="s">
        <v>162</v>
      </c>
      <c r="D42">
        <v>39</v>
      </c>
      <c r="F42">
        <v>40</v>
      </c>
      <c r="G42">
        <v>40</v>
      </c>
      <c r="H42">
        <v>128</v>
      </c>
      <c r="I42">
        <v>40</v>
      </c>
      <c r="J42">
        <v>40</v>
      </c>
      <c r="K42">
        <v>128</v>
      </c>
      <c r="L42">
        <v>1</v>
      </c>
      <c r="M42" t="s">
        <v>22</v>
      </c>
      <c r="N42">
        <f t="shared" si="0"/>
        <v>5120</v>
      </c>
      <c r="O42">
        <f t="shared" si="1"/>
        <v>5120</v>
      </c>
      <c r="R42">
        <f t="shared" si="3"/>
        <v>17408</v>
      </c>
    </row>
    <row r="43" spans="1:18" x14ac:dyDescent="0.25">
      <c r="A43" t="s">
        <v>55</v>
      </c>
      <c r="B43" s="6" t="s">
        <v>163</v>
      </c>
      <c r="D43">
        <v>40</v>
      </c>
      <c r="F43">
        <v>40</v>
      </c>
      <c r="G43">
        <v>40</v>
      </c>
      <c r="H43">
        <v>128</v>
      </c>
      <c r="I43">
        <v>40</v>
      </c>
      <c r="J43">
        <v>40</v>
      </c>
      <c r="K43">
        <v>64</v>
      </c>
      <c r="L43">
        <v>1</v>
      </c>
      <c r="M43" t="s">
        <v>22</v>
      </c>
      <c r="N43">
        <f t="shared" si="0"/>
        <v>5120</v>
      </c>
      <c r="O43">
        <f t="shared" si="1"/>
        <v>2560</v>
      </c>
      <c r="R43">
        <f t="shared" si="3"/>
        <v>8704</v>
      </c>
    </row>
    <row r="44" spans="1:18" x14ac:dyDescent="0.25">
      <c r="A44" t="s">
        <v>56</v>
      </c>
      <c r="B44" s="6" t="s">
        <v>164</v>
      </c>
      <c r="D44">
        <v>41</v>
      </c>
      <c r="F44">
        <v>80</v>
      </c>
      <c r="G44">
        <v>80</v>
      </c>
      <c r="H44">
        <v>128</v>
      </c>
      <c r="I44">
        <v>80</v>
      </c>
      <c r="J44">
        <v>80</v>
      </c>
      <c r="K44">
        <v>32</v>
      </c>
      <c r="L44">
        <v>1</v>
      </c>
      <c r="M44" t="s">
        <v>22</v>
      </c>
      <c r="N44">
        <f t="shared" si="0"/>
        <v>10240</v>
      </c>
      <c r="O44">
        <f t="shared" si="1"/>
        <v>2560</v>
      </c>
      <c r="R44">
        <f t="shared" si="3"/>
        <v>4352</v>
      </c>
    </row>
    <row r="45" spans="1:18" x14ac:dyDescent="0.25">
      <c r="A45" t="s">
        <v>57</v>
      </c>
      <c r="B45" s="6" t="s">
        <v>164</v>
      </c>
      <c r="D45">
        <v>42</v>
      </c>
      <c r="F45">
        <v>80</v>
      </c>
      <c r="G45">
        <v>80</v>
      </c>
      <c r="H45">
        <v>128</v>
      </c>
      <c r="I45">
        <v>80</v>
      </c>
      <c r="J45">
        <v>80</v>
      </c>
      <c r="K45">
        <v>32</v>
      </c>
      <c r="L45">
        <v>1</v>
      </c>
      <c r="M45" t="s">
        <v>22</v>
      </c>
      <c r="N45">
        <f t="shared" si="0"/>
        <v>10240</v>
      </c>
      <c r="O45">
        <f t="shared" si="1"/>
        <v>2560</v>
      </c>
      <c r="R45">
        <f t="shared" si="3"/>
        <v>4352</v>
      </c>
    </row>
    <row r="46" spans="1:18" x14ac:dyDescent="0.25">
      <c r="A46" t="s">
        <v>58</v>
      </c>
      <c r="B46" s="6" t="s">
        <v>165</v>
      </c>
      <c r="D46">
        <v>43</v>
      </c>
      <c r="F46">
        <v>80</v>
      </c>
      <c r="G46">
        <v>80</v>
      </c>
      <c r="H46">
        <v>32</v>
      </c>
      <c r="I46">
        <v>80</v>
      </c>
      <c r="J46">
        <v>80</v>
      </c>
      <c r="K46">
        <v>32</v>
      </c>
      <c r="L46">
        <v>1</v>
      </c>
      <c r="M46" t="s">
        <v>22</v>
      </c>
      <c r="N46">
        <f t="shared" si="0"/>
        <v>2560</v>
      </c>
      <c r="O46">
        <f t="shared" si="1"/>
        <v>2560</v>
      </c>
      <c r="R46">
        <f t="shared" si="3"/>
        <v>1280</v>
      </c>
    </row>
    <row r="47" spans="1:18" s="1" customFormat="1" x14ac:dyDescent="0.25">
      <c r="A47" s="1" t="s">
        <v>59</v>
      </c>
      <c r="B47" s="7" t="s">
        <v>166</v>
      </c>
      <c r="D47" s="1">
        <v>44</v>
      </c>
      <c r="F47" s="1">
        <v>80</v>
      </c>
      <c r="G47" s="1">
        <v>80</v>
      </c>
      <c r="H47" s="1">
        <v>32</v>
      </c>
      <c r="I47" s="1">
        <v>80</v>
      </c>
      <c r="J47" s="1">
        <v>80</v>
      </c>
      <c r="K47" s="1">
        <v>32</v>
      </c>
      <c r="L47" s="1">
        <v>1</v>
      </c>
      <c r="M47" s="1" t="s">
        <v>20</v>
      </c>
      <c r="N47" s="1">
        <f t="shared" si="0"/>
        <v>2560</v>
      </c>
      <c r="O47" s="1">
        <f t="shared" si="1"/>
        <v>2560</v>
      </c>
      <c r="Q47">
        <f>H47*K47*9+(K47/2)*16</f>
        <v>9472</v>
      </c>
      <c r="R47">
        <f t="shared" si="3"/>
        <v>1280</v>
      </c>
    </row>
    <row r="48" spans="1:18" x14ac:dyDescent="0.25">
      <c r="A48" t="s">
        <v>60</v>
      </c>
      <c r="B48" s="6" t="s">
        <v>167</v>
      </c>
      <c r="D48">
        <v>45</v>
      </c>
      <c r="F48">
        <v>80</v>
      </c>
      <c r="G48">
        <v>80</v>
      </c>
      <c r="H48">
        <v>64</v>
      </c>
      <c r="I48">
        <v>80</v>
      </c>
      <c r="J48">
        <v>80</v>
      </c>
      <c r="K48">
        <v>64</v>
      </c>
      <c r="L48">
        <v>1</v>
      </c>
      <c r="M48" t="s">
        <v>22</v>
      </c>
      <c r="N48">
        <f t="shared" si="0"/>
        <v>5120</v>
      </c>
      <c r="O48">
        <f t="shared" si="1"/>
        <v>5120</v>
      </c>
      <c r="R48">
        <f t="shared" si="3"/>
        <v>4608</v>
      </c>
    </row>
    <row r="49" spans="1:18" s="1" customFormat="1" x14ac:dyDescent="0.25">
      <c r="A49" s="1" t="s">
        <v>61</v>
      </c>
      <c r="B49" s="7" t="s">
        <v>168</v>
      </c>
      <c r="D49" s="1">
        <v>46</v>
      </c>
      <c r="F49" s="1">
        <v>80</v>
      </c>
      <c r="G49" s="1">
        <v>80</v>
      </c>
      <c r="H49" s="1">
        <v>64</v>
      </c>
      <c r="I49" s="1">
        <v>40</v>
      </c>
      <c r="J49" s="1">
        <v>40</v>
      </c>
      <c r="K49" s="1">
        <v>64</v>
      </c>
      <c r="L49" s="1">
        <v>2</v>
      </c>
      <c r="M49" s="1" t="s">
        <v>20</v>
      </c>
      <c r="N49" s="1">
        <f t="shared" si="0"/>
        <v>5120</v>
      </c>
      <c r="O49" s="1">
        <f t="shared" si="1"/>
        <v>2560</v>
      </c>
      <c r="Q49">
        <f>H49*K49*9+(K49/2)*16</f>
        <v>37376</v>
      </c>
      <c r="R49">
        <f t="shared" si="3"/>
        <v>4608</v>
      </c>
    </row>
    <row r="50" spans="1:18" x14ac:dyDescent="0.25">
      <c r="A50" t="s">
        <v>62</v>
      </c>
      <c r="B50" s="6" t="s">
        <v>169</v>
      </c>
      <c r="D50">
        <v>47</v>
      </c>
      <c r="F50">
        <v>40</v>
      </c>
      <c r="G50">
        <v>40</v>
      </c>
      <c r="H50">
        <v>128</v>
      </c>
      <c r="I50">
        <v>40</v>
      </c>
      <c r="J50">
        <v>40</v>
      </c>
      <c r="K50">
        <v>64</v>
      </c>
      <c r="L50">
        <v>1</v>
      </c>
      <c r="M50" t="s">
        <v>22</v>
      </c>
      <c r="N50">
        <f t="shared" si="0"/>
        <v>5120</v>
      </c>
      <c r="O50">
        <f t="shared" si="1"/>
        <v>2560</v>
      </c>
      <c r="R50">
        <f t="shared" si="3"/>
        <v>8704</v>
      </c>
    </row>
    <row r="51" spans="1:18" x14ac:dyDescent="0.25">
      <c r="A51" t="s">
        <v>63</v>
      </c>
      <c r="B51" s="6" t="s">
        <v>169</v>
      </c>
      <c r="D51">
        <v>48</v>
      </c>
      <c r="F51">
        <v>40</v>
      </c>
      <c r="G51">
        <v>40</v>
      </c>
      <c r="H51">
        <v>128</v>
      </c>
      <c r="I51">
        <v>40</v>
      </c>
      <c r="J51">
        <v>40</v>
      </c>
      <c r="K51">
        <v>64</v>
      </c>
      <c r="L51">
        <v>1</v>
      </c>
      <c r="M51" t="s">
        <v>22</v>
      </c>
      <c r="N51">
        <f t="shared" si="0"/>
        <v>5120</v>
      </c>
      <c r="O51">
        <f t="shared" si="1"/>
        <v>2560</v>
      </c>
      <c r="R51">
        <f t="shared" si="3"/>
        <v>8704</v>
      </c>
    </row>
    <row r="52" spans="1:18" x14ac:dyDescent="0.25">
      <c r="A52" t="s">
        <v>64</v>
      </c>
      <c r="B52" s="6" t="s">
        <v>170</v>
      </c>
      <c r="D52">
        <v>49</v>
      </c>
      <c r="F52">
        <v>40</v>
      </c>
      <c r="G52">
        <v>40</v>
      </c>
      <c r="H52">
        <v>64</v>
      </c>
      <c r="I52">
        <v>40</v>
      </c>
      <c r="J52">
        <v>40</v>
      </c>
      <c r="K52">
        <v>64</v>
      </c>
      <c r="L52">
        <v>1</v>
      </c>
      <c r="M52" t="s">
        <v>22</v>
      </c>
      <c r="N52">
        <f t="shared" si="0"/>
        <v>2560</v>
      </c>
      <c r="O52">
        <f t="shared" si="1"/>
        <v>2560</v>
      </c>
      <c r="R52">
        <f t="shared" si="3"/>
        <v>4608</v>
      </c>
    </row>
    <row r="53" spans="1:18" s="1" customFormat="1" x14ac:dyDescent="0.25">
      <c r="A53" s="1" t="s">
        <v>65</v>
      </c>
      <c r="B53" s="7" t="s">
        <v>171</v>
      </c>
      <c r="D53" s="1">
        <v>50</v>
      </c>
      <c r="F53" s="1">
        <v>40</v>
      </c>
      <c r="G53" s="1">
        <v>40</v>
      </c>
      <c r="H53" s="1">
        <v>64</v>
      </c>
      <c r="I53" s="1">
        <v>40</v>
      </c>
      <c r="J53" s="1">
        <v>40</v>
      </c>
      <c r="K53" s="1">
        <v>64</v>
      </c>
      <c r="L53" s="1">
        <v>1</v>
      </c>
      <c r="M53" s="1" t="s">
        <v>20</v>
      </c>
      <c r="N53" s="1">
        <f t="shared" si="0"/>
        <v>2560</v>
      </c>
      <c r="O53" s="1">
        <f t="shared" si="1"/>
        <v>2560</v>
      </c>
      <c r="Q53">
        <f>H53*K53*9+(K53/2)*16</f>
        <v>37376</v>
      </c>
      <c r="R53">
        <f t="shared" si="3"/>
        <v>4608</v>
      </c>
    </row>
    <row r="54" spans="1:18" x14ac:dyDescent="0.25">
      <c r="A54" t="s">
        <v>66</v>
      </c>
      <c r="B54" s="6" t="s">
        <v>172</v>
      </c>
      <c r="D54">
        <v>51</v>
      </c>
      <c r="F54">
        <v>40</v>
      </c>
      <c r="G54">
        <v>40</v>
      </c>
      <c r="H54">
        <v>128</v>
      </c>
      <c r="I54">
        <v>40</v>
      </c>
      <c r="J54">
        <v>40</v>
      </c>
      <c r="K54">
        <v>128</v>
      </c>
      <c r="L54">
        <v>1</v>
      </c>
      <c r="M54" t="s">
        <v>22</v>
      </c>
      <c r="N54">
        <f t="shared" si="0"/>
        <v>5120</v>
      </c>
      <c r="O54">
        <f t="shared" si="1"/>
        <v>5120</v>
      </c>
      <c r="R54">
        <f t="shared" si="3"/>
        <v>17408</v>
      </c>
    </row>
    <row r="55" spans="1:18" s="1" customFormat="1" x14ac:dyDescent="0.25">
      <c r="A55" s="1" t="s">
        <v>67</v>
      </c>
      <c r="B55" s="7" t="s">
        <v>173</v>
      </c>
      <c r="D55" s="1">
        <v>52</v>
      </c>
      <c r="F55" s="1">
        <v>40</v>
      </c>
      <c r="G55" s="1">
        <v>40</v>
      </c>
      <c r="H55" s="1">
        <v>128</v>
      </c>
      <c r="I55" s="1">
        <v>20</v>
      </c>
      <c r="J55" s="1">
        <v>20</v>
      </c>
      <c r="K55" s="1">
        <v>128</v>
      </c>
      <c r="L55" s="1">
        <v>2</v>
      </c>
      <c r="M55" s="1" t="s">
        <v>20</v>
      </c>
      <c r="N55" s="1">
        <f t="shared" si="0"/>
        <v>5120</v>
      </c>
      <c r="O55" s="1">
        <f t="shared" si="1"/>
        <v>2560</v>
      </c>
      <c r="Q55">
        <f>H55*K55*9+(K55/2)*16</f>
        <v>148480</v>
      </c>
      <c r="R55">
        <f t="shared" si="3"/>
        <v>17408</v>
      </c>
    </row>
    <row r="56" spans="1:18" x14ac:dyDescent="0.25">
      <c r="A56" t="s">
        <v>68</v>
      </c>
      <c r="B56" s="6" t="s">
        <v>174</v>
      </c>
      <c r="D56">
        <v>53</v>
      </c>
      <c r="F56">
        <v>20</v>
      </c>
      <c r="G56">
        <v>20</v>
      </c>
      <c r="H56">
        <v>256</v>
      </c>
      <c r="I56">
        <v>20</v>
      </c>
      <c r="J56">
        <v>20</v>
      </c>
      <c r="K56">
        <v>128</v>
      </c>
      <c r="L56">
        <v>1</v>
      </c>
      <c r="M56" t="s">
        <v>22</v>
      </c>
      <c r="N56">
        <f t="shared" si="0"/>
        <v>5120</v>
      </c>
      <c r="O56">
        <f t="shared" si="1"/>
        <v>2560</v>
      </c>
      <c r="R56">
        <f t="shared" si="3"/>
        <v>33792</v>
      </c>
    </row>
    <row r="57" spans="1:18" x14ac:dyDescent="0.25">
      <c r="A57" t="s">
        <v>69</v>
      </c>
      <c r="B57" s="6" t="s">
        <v>174</v>
      </c>
      <c r="D57">
        <v>54</v>
      </c>
      <c r="F57">
        <v>20</v>
      </c>
      <c r="G57">
        <v>20</v>
      </c>
      <c r="H57">
        <v>256</v>
      </c>
      <c r="I57">
        <v>20</v>
      </c>
      <c r="J57">
        <v>20</v>
      </c>
      <c r="K57">
        <v>128</v>
      </c>
      <c r="L57">
        <v>1</v>
      </c>
      <c r="M57" t="s">
        <v>22</v>
      </c>
      <c r="N57">
        <f t="shared" si="0"/>
        <v>5120</v>
      </c>
      <c r="O57">
        <f t="shared" si="1"/>
        <v>2560</v>
      </c>
      <c r="R57">
        <f t="shared" si="3"/>
        <v>33792</v>
      </c>
    </row>
    <row r="58" spans="1:18" x14ac:dyDescent="0.25">
      <c r="A58" t="s">
        <v>70</v>
      </c>
      <c r="B58" s="6" t="s">
        <v>175</v>
      </c>
      <c r="D58">
        <v>55</v>
      </c>
      <c r="F58">
        <v>20</v>
      </c>
      <c r="G58">
        <v>20</v>
      </c>
      <c r="H58">
        <v>128</v>
      </c>
      <c r="I58">
        <v>20</v>
      </c>
      <c r="J58">
        <v>20</v>
      </c>
      <c r="K58">
        <v>128</v>
      </c>
      <c r="L58">
        <v>1</v>
      </c>
      <c r="M58" t="s">
        <v>22</v>
      </c>
      <c r="N58">
        <f t="shared" si="0"/>
        <v>2560</v>
      </c>
      <c r="O58">
        <f t="shared" si="1"/>
        <v>2560</v>
      </c>
      <c r="R58">
        <f t="shared" si="3"/>
        <v>17408</v>
      </c>
    </row>
    <row r="59" spans="1:18" s="1" customFormat="1" x14ac:dyDescent="0.25">
      <c r="A59" s="1" t="s">
        <v>71</v>
      </c>
      <c r="B59" s="7" t="s">
        <v>176</v>
      </c>
      <c r="D59" s="1">
        <v>56</v>
      </c>
      <c r="F59" s="1">
        <v>20</v>
      </c>
      <c r="G59" s="1">
        <v>20</v>
      </c>
      <c r="H59" s="1">
        <v>128</v>
      </c>
      <c r="I59" s="1">
        <v>20</v>
      </c>
      <c r="J59" s="1">
        <v>20</v>
      </c>
      <c r="K59" s="1">
        <v>128</v>
      </c>
      <c r="L59" s="1">
        <v>1</v>
      </c>
      <c r="M59" s="1" t="s">
        <v>20</v>
      </c>
      <c r="N59" s="1">
        <f t="shared" si="0"/>
        <v>2560</v>
      </c>
      <c r="O59" s="1">
        <f t="shared" si="1"/>
        <v>2560</v>
      </c>
      <c r="Q59">
        <f>H59*K59*9+(K59/2)*16</f>
        <v>148480</v>
      </c>
      <c r="R59">
        <f t="shared" si="3"/>
        <v>17408</v>
      </c>
    </row>
    <row r="60" spans="1:18" x14ac:dyDescent="0.25">
      <c r="A60" t="s">
        <v>72</v>
      </c>
      <c r="B60" s="6" t="s">
        <v>177</v>
      </c>
      <c r="D60">
        <v>57</v>
      </c>
      <c r="F60">
        <v>20</v>
      </c>
      <c r="G60">
        <v>20</v>
      </c>
      <c r="H60">
        <v>256</v>
      </c>
      <c r="I60">
        <v>20</v>
      </c>
      <c r="J60">
        <v>20</v>
      </c>
      <c r="K60">
        <v>256</v>
      </c>
      <c r="L60">
        <v>1</v>
      </c>
      <c r="M60" t="s">
        <v>22</v>
      </c>
      <c r="N60">
        <f t="shared" si="0"/>
        <v>5120</v>
      </c>
      <c r="O60">
        <f t="shared" si="1"/>
        <v>5120</v>
      </c>
      <c r="R60">
        <f t="shared" si="3"/>
        <v>67584</v>
      </c>
    </row>
    <row r="61" spans="1:18" x14ac:dyDescent="0.25">
      <c r="N61">
        <f t="shared" si="0"/>
        <v>0</v>
      </c>
      <c r="O61">
        <f t="shared" si="1"/>
        <v>0</v>
      </c>
      <c r="Q61">
        <f>H61*K61*9+(K61/2)*16</f>
        <v>0</v>
      </c>
      <c r="R61">
        <f t="shared" si="3"/>
        <v>0</v>
      </c>
    </row>
    <row r="62" spans="1:18" x14ac:dyDescent="0.25">
      <c r="A62" t="s">
        <v>73</v>
      </c>
      <c r="B62" s="6" t="s">
        <v>178</v>
      </c>
      <c r="D62">
        <v>58</v>
      </c>
      <c r="F62">
        <v>20</v>
      </c>
      <c r="G62">
        <v>20</v>
      </c>
      <c r="H62">
        <v>256</v>
      </c>
      <c r="I62">
        <v>20</v>
      </c>
      <c r="J62">
        <v>20</v>
      </c>
      <c r="K62">
        <v>75</v>
      </c>
      <c r="L62">
        <v>1</v>
      </c>
      <c r="M62" t="s">
        <v>22</v>
      </c>
      <c r="N62">
        <f t="shared" si="0"/>
        <v>5120</v>
      </c>
      <c r="O62">
        <f t="shared" si="1"/>
        <v>1500</v>
      </c>
      <c r="R62">
        <f t="shared" si="3"/>
        <v>19800</v>
      </c>
    </row>
    <row r="63" spans="1:18" x14ac:dyDescent="0.25">
      <c r="A63" t="s">
        <v>74</v>
      </c>
      <c r="B63" s="6" t="s">
        <v>173</v>
      </c>
      <c r="D63">
        <v>59</v>
      </c>
      <c r="F63">
        <v>40</v>
      </c>
      <c r="G63">
        <v>40</v>
      </c>
      <c r="H63">
        <v>128</v>
      </c>
      <c r="I63">
        <v>40</v>
      </c>
      <c r="J63">
        <v>40</v>
      </c>
      <c r="K63">
        <v>75</v>
      </c>
      <c r="L63">
        <v>1</v>
      </c>
      <c r="M63" t="s">
        <v>22</v>
      </c>
      <c r="N63">
        <f t="shared" si="0"/>
        <v>5120</v>
      </c>
      <c r="O63">
        <f t="shared" si="1"/>
        <v>3000</v>
      </c>
      <c r="R63">
        <f t="shared" si="3"/>
        <v>10200</v>
      </c>
    </row>
    <row r="64" spans="1:18" x14ac:dyDescent="0.25">
      <c r="A64" t="s">
        <v>75</v>
      </c>
      <c r="B64" s="6" t="s">
        <v>168</v>
      </c>
      <c r="D64">
        <v>60</v>
      </c>
      <c r="F64">
        <v>80</v>
      </c>
      <c r="G64">
        <v>80</v>
      </c>
      <c r="H64">
        <v>64</v>
      </c>
      <c r="I64">
        <v>80</v>
      </c>
      <c r="J64">
        <v>80</v>
      </c>
      <c r="K64">
        <v>75</v>
      </c>
      <c r="L64">
        <v>1</v>
      </c>
      <c r="M64" t="s">
        <v>22</v>
      </c>
      <c r="N64">
        <f t="shared" si="0"/>
        <v>5120</v>
      </c>
      <c r="O64">
        <f t="shared" si="1"/>
        <v>6000</v>
      </c>
      <c r="R64">
        <f t="shared" si="3"/>
        <v>5400</v>
      </c>
    </row>
    <row r="65" spans="1:12" x14ac:dyDescent="0.25">
      <c r="B65" s="2"/>
    </row>
    <row r="66" spans="1:12" x14ac:dyDescent="0.25">
      <c r="B66" s="2"/>
    </row>
    <row r="67" spans="1:12" x14ac:dyDescent="0.25">
      <c r="B67" s="2"/>
    </row>
    <row r="68" spans="1:12" x14ac:dyDescent="0.25">
      <c r="B68" s="2"/>
    </row>
    <row r="69" spans="1:12" x14ac:dyDescent="0.25">
      <c r="B69" s="2"/>
    </row>
    <row r="70" spans="1:12" x14ac:dyDescent="0.25">
      <c r="B70" s="2"/>
    </row>
    <row r="71" spans="1:12" x14ac:dyDescent="0.25">
      <c r="B71" s="2"/>
    </row>
    <row r="72" spans="1:12" x14ac:dyDescent="0.25">
      <c r="B72" s="2"/>
    </row>
    <row r="73" spans="1:12" x14ac:dyDescent="0.25">
      <c r="B73" s="2"/>
    </row>
    <row r="74" spans="1:12" x14ac:dyDescent="0.25">
      <c r="B74" s="2"/>
      <c r="F74" s="3" t="s">
        <v>3</v>
      </c>
      <c r="G74" s="3" t="s">
        <v>2</v>
      </c>
      <c r="H74" s="3" t="s">
        <v>4</v>
      </c>
      <c r="J74" s="3" t="s">
        <v>6</v>
      </c>
      <c r="K74" s="3" t="s">
        <v>5</v>
      </c>
      <c r="L74" s="3" t="s">
        <v>7</v>
      </c>
    </row>
    <row r="75" spans="1:12" x14ac:dyDescent="0.25">
      <c r="A75" t="s">
        <v>76</v>
      </c>
      <c r="B75" s="2" t="s">
        <v>77</v>
      </c>
      <c r="D75">
        <v>61</v>
      </c>
      <c r="F75">
        <v>160</v>
      </c>
      <c r="G75">
        <v>160</v>
      </c>
      <c r="H75">
        <v>16</v>
      </c>
      <c r="J75">
        <v>160</v>
      </c>
      <c r="K75">
        <v>160</v>
      </c>
      <c r="L75">
        <v>16</v>
      </c>
    </row>
    <row r="76" spans="1:12" x14ac:dyDescent="0.25">
      <c r="A76" t="s">
        <v>78</v>
      </c>
      <c r="B76" s="2" t="s">
        <v>79</v>
      </c>
      <c r="D76">
        <v>62</v>
      </c>
      <c r="F76">
        <v>80</v>
      </c>
      <c r="G76">
        <v>80</v>
      </c>
      <c r="H76">
        <v>32</v>
      </c>
      <c r="J76">
        <v>80</v>
      </c>
      <c r="K76">
        <v>80</v>
      </c>
      <c r="L76">
        <v>32</v>
      </c>
    </row>
    <row r="77" spans="1:12" x14ac:dyDescent="0.25">
      <c r="A77" t="s">
        <v>80</v>
      </c>
      <c r="B77" s="2" t="s">
        <v>81</v>
      </c>
      <c r="D77">
        <v>63</v>
      </c>
      <c r="F77">
        <v>80</v>
      </c>
      <c r="G77">
        <v>80</v>
      </c>
      <c r="H77">
        <v>32</v>
      </c>
      <c r="J77">
        <v>80</v>
      </c>
      <c r="K77">
        <v>80</v>
      </c>
      <c r="L77">
        <v>32</v>
      </c>
    </row>
    <row r="78" spans="1:12" x14ac:dyDescent="0.25">
      <c r="A78" t="s">
        <v>82</v>
      </c>
      <c r="B78" s="2" t="s">
        <v>83</v>
      </c>
      <c r="D78">
        <v>64</v>
      </c>
      <c r="F78">
        <v>40</v>
      </c>
      <c r="G78">
        <v>40</v>
      </c>
      <c r="H78">
        <v>64</v>
      </c>
      <c r="J78">
        <v>40</v>
      </c>
      <c r="K78">
        <v>40</v>
      </c>
      <c r="L78">
        <v>64</v>
      </c>
    </row>
    <row r="79" spans="1:12" x14ac:dyDescent="0.25">
      <c r="A79" t="s">
        <v>84</v>
      </c>
      <c r="B79" s="2" t="s">
        <v>85</v>
      </c>
      <c r="D79">
        <v>65</v>
      </c>
      <c r="F79">
        <v>40</v>
      </c>
      <c r="G79">
        <v>40</v>
      </c>
      <c r="H79">
        <v>64</v>
      </c>
      <c r="J79">
        <v>40</v>
      </c>
      <c r="K79">
        <v>40</v>
      </c>
      <c r="L79">
        <v>64</v>
      </c>
    </row>
    <row r="80" spans="1:12" x14ac:dyDescent="0.25">
      <c r="A80" t="s">
        <v>86</v>
      </c>
      <c r="B80" s="2" t="s">
        <v>87</v>
      </c>
      <c r="D80">
        <v>66</v>
      </c>
      <c r="F80">
        <v>40</v>
      </c>
      <c r="G80">
        <v>40</v>
      </c>
      <c r="H80">
        <v>64</v>
      </c>
      <c r="J80">
        <v>40</v>
      </c>
      <c r="K80">
        <v>40</v>
      </c>
      <c r="L80">
        <v>64</v>
      </c>
    </row>
    <row r="81" spans="1:12" x14ac:dyDescent="0.25">
      <c r="A81" t="s">
        <v>88</v>
      </c>
      <c r="B81" s="2" t="s">
        <v>89</v>
      </c>
      <c r="D81">
        <v>67</v>
      </c>
      <c r="F81">
        <v>20</v>
      </c>
      <c r="G81">
        <v>20</v>
      </c>
      <c r="H81">
        <v>128</v>
      </c>
      <c r="J81">
        <v>20</v>
      </c>
      <c r="K81">
        <v>20</v>
      </c>
      <c r="L81">
        <v>128</v>
      </c>
    </row>
    <row r="82" spans="1:12" x14ac:dyDescent="0.25">
      <c r="B82" s="2"/>
    </row>
    <row r="83" spans="1:12" x14ac:dyDescent="0.25">
      <c r="B83" s="2"/>
    </row>
    <row r="84" spans="1:12" x14ac:dyDescent="0.25">
      <c r="A84" t="s">
        <v>90</v>
      </c>
      <c r="B84" s="2" t="s">
        <v>91</v>
      </c>
      <c r="D84">
        <v>68</v>
      </c>
      <c r="F84">
        <v>160</v>
      </c>
      <c r="G84">
        <v>160</v>
      </c>
      <c r="H84">
        <v>16</v>
      </c>
      <c r="J84">
        <v>160</v>
      </c>
      <c r="K84">
        <v>160</v>
      </c>
      <c r="L84">
        <v>32</v>
      </c>
    </row>
    <row r="85" spans="1:12" x14ac:dyDescent="0.25">
      <c r="A85" t="s">
        <v>92</v>
      </c>
      <c r="B85" s="2" t="s">
        <v>93</v>
      </c>
      <c r="D85">
        <v>69</v>
      </c>
      <c r="F85">
        <v>80</v>
      </c>
      <c r="G85">
        <v>80</v>
      </c>
      <c r="H85">
        <v>32</v>
      </c>
      <c r="J85">
        <v>80</v>
      </c>
      <c r="K85">
        <v>80</v>
      </c>
      <c r="L85">
        <v>64</v>
      </c>
    </row>
    <row r="86" spans="1:12" x14ac:dyDescent="0.25">
      <c r="A86" t="s">
        <v>94</v>
      </c>
      <c r="B86" s="2" t="s">
        <v>95</v>
      </c>
      <c r="D86">
        <v>70</v>
      </c>
      <c r="F86">
        <v>40</v>
      </c>
      <c r="G86">
        <v>40</v>
      </c>
      <c r="H86">
        <v>64</v>
      </c>
      <c r="J86">
        <v>40</v>
      </c>
      <c r="K86">
        <v>40</v>
      </c>
      <c r="L86">
        <v>128</v>
      </c>
    </row>
    <row r="87" spans="1:12" x14ac:dyDescent="0.25">
      <c r="A87" t="s">
        <v>96</v>
      </c>
      <c r="B87" s="2" t="s">
        <v>97</v>
      </c>
      <c r="D87">
        <v>71</v>
      </c>
      <c r="F87">
        <v>20</v>
      </c>
      <c r="G87">
        <v>20</v>
      </c>
      <c r="H87">
        <v>128</v>
      </c>
      <c r="J87">
        <v>20</v>
      </c>
      <c r="K87">
        <v>20</v>
      </c>
      <c r="L87">
        <v>256</v>
      </c>
    </row>
    <row r="88" spans="1:12" x14ac:dyDescent="0.25">
      <c r="A88" t="s">
        <v>98</v>
      </c>
      <c r="B88" s="2" t="s">
        <v>99</v>
      </c>
      <c r="D88">
        <v>72</v>
      </c>
      <c r="F88">
        <v>20</v>
      </c>
      <c r="G88">
        <v>20</v>
      </c>
      <c r="H88">
        <v>128</v>
      </c>
      <c r="J88">
        <v>20</v>
      </c>
      <c r="K88">
        <v>20</v>
      </c>
      <c r="L88">
        <v>256</v>
      </c>
    </row>
    <row r="89" spans="1:12" x14ac:dyDescent="0.25">
      <c r="A89" t="s">
        <v>100</v>
      </c>
      <c r="B89" s="2" t="s">
        <v>101</v>
      </c>
      <c r="D89">
        <v>73</v>
      </c>
      <c r="F89">
        <v>20</v>
      </c>
      <c r="G89">
        <v>20</v>
      </c>
      <c r="H89">
        <v>128</v>
      </c>
      <c r="J89">
        <v>20</v>
      </c>
      <c r="K89">
        <v>20</v>
      </c>
      <c r="L89">
        <v>256</v>
      </c>
    </row>
    <row r="90" spans="1:12" x14ac:dyDescent="0.25">
      <c r="A90" t="s">
        <v>102</v>
      </c>
      <c r="B90" s="2" t="s">
        <v>103</v>
      </c>
      <c r="D90">
        <v>74</v>
      </c>
      <c r="F90">
        <v>20</v>
      </c>
      <c r="G90">
        <v>20</v>
      </c>
      <c r="H90">
        <v>256</v>
      </c>
      <c r="J90">
        <v>20</v>
      </c>
      <c r="K90">
        <v>20</v>
      </c>
      <c r="L90">
        <v>512</v>
      </c>
    </row>
    <row r="91" spans="1:12" x14ac:dyDescent="0.25">
      <c r="A91" t="s">
        <v>104</v>
      </c>
      <c r="B91" s="2" t="s">
        <v>105</v>
      </c>
      <c r="D91">
        <v>75</v>
      </c>
      <c r="F91">
        <v>40</v>
      </c>
      <c r="G91">
        <v>40</v>
      </c>
      <c r="H91">
        <v>128</v>
      </c>
      <c r="J91">
        <v>40</v>
      </c>
      <c r="K91">
        <v>40</v>
      </c>
      <c r="L91">
        <v>256</v>
      </c>
    </row>
    <row r="92" spans="1:12" x14ac:dyDescent="0.25">
      <c r="A92" t="s">
        <v>106</v>
      </c>
      <c r="B92" s="2" t="s">
        <v>107</v>
      </c>
      <c r="D92">
        <v>76</v>
      </c>
      <c r="F92">
        <v>40</v>
      </c>
      <c r="G92">
        <v>40</v>
      </c>
      <c r="H92">
        <v>64</v>
      </c>
      <c r="J92">
        <v>40</v>
      </c>
      <c r="K92">
        <v>40</v>
      </c>
      <c r="L92">
        <v>128</v>
      </c>
    </row>
    <row r="93" spans="1:12" x14ac:dyDescent="0.25">
      <c r="A93" t="s">
        <v>108</v>
      </c>
      <c r="B93" s="2" t="s">
        <v>109</v>
      </c>
      <c r="D93">
        <v>77</v>
      </c>
      <c r="F93">
        <v>80</v>
      </c>
      <c r="G93">
        <v>80</v>
      </c>
      <c r="H93">
        <v>64</v>
      </c>
      <c r="J93">
        <v>80</v>
      </c>
      <c r="K93">
        <v>80</v>
      </c>
      <c r="L93">
        <v>128</v>
      </c>
    </row>
    <row r="94" spans="1:12" x14ac:dyDescent="0.25">
      <c r="A94" t="s">
        <v>110</v>
      </c>
      <c r="B94" s="2" t="s">
        <v>111</v>
      </c>
      <c r="D94">
        <v>78</v>
      </c>
      <c r="F94">
        <v>80</v>
      </c>
      <c r="G94">
        <v>80</v>
      </c>
      <c r="H94">
        <v>32</v>
      </c>
      <c r="J94">
        <v>80</v>
      </c>
      <c r="K94">
        <v>80</v>
      </c>
      <c r="L94">
        <v>64</v>
      </c>
    </row>
    <row r="95" spans="1:12" x14ac:dyDescent="0.25">
      <c r="A95" t="s">
        <v>112</v>
      </c>
      <c r="B95" s="2" t="s">
        <v>113</v>
      </c>
      <c r="D95">
        <v>79</v>
      </c>
      <c r="F95">
        <v>40</v>
      </c>
      <c r="G95">
        <v>40</v>
      </c>
      <c r="H95">
        <v>64</v>
      </c>
      <c r="J95">
        <v>40</v>
      </c>
      <c r="K95">
        <v>40</v>
      </c>
      <c r="L95">
        <v>128</v>
      </c>
    </row>
    <row r="96" spans="1:12" x14ac:dyDescent="0.25">
      <c r="A96" t="s">
        <v>114</v>
      </c>
      <c r="B96" s="2" t="s">
        <v>115</v>
      </c>
      <c r="D96">
        <v>80</v>
      </c>
      <c r="F96">
        <v>40</v>
      </c>
      <c r="G96">
        <v>40</v>
      </c>
      <c r="H96">
        <v>64</v>
      </c>
      <c r="J96">
        <v>40</v>
      </c>
      <c r="K96">
        <v>40</v>
      </c>
      <c r="L96">
        <v>128</v>
      </c>
    </row>
    <row r="97" spans="1:12" x14ac:dyDescent="0.25">
      <c r="A97" t="s">
        <v>116</v>
      </c>
      <c r="B97" s="2" t="s">
        <v>117</v>
      </c>
      <c r="D97">
        <v>81</v>
      </c>
      <c r="F97">
        <v>20</v>
      </c>
      <c r="G97">
        <v>20</v>
      </c>
      <c r="H97">
        <v>128</v>
      </c>
      <c r="J97">
        <v>20</v>
      </c>
      <c r="K97">
        <v>20</v>
      </c>
      <c r="L97">
        <v>256</v>
      </c>
    </row>
    <row r="98" spans="1:12" x14ac:dyDescent="0.25">
      <c r="A98" t="s">
        <v>118</v>
      </c>
      <c r="B98" s="2" t="s">
        <v>119</v>
      </c>
      <c r="D98">
        <v>82</v>
      </c>
      <c r="F98">
        <v>20</v>
      </c>
      <c r="G98">
        <v>20</v>
      </c>
      <c r="H98">
        <v>128</v>
      </c>
      <c r="J98">
        <v>20</v>
      </c>
      <c r="K98">
        <v>20</v>
      </c>
      <c r="L98">
        <v>256</v>
      </c>
    </row>
    <row r="99" spans="1:12" x14ac:dyDescent="0.25">
      <c r="B99" s="2"/>
    </row>
    <row r="100" spans="1:12" x14ac:dyDescent="0.25">
      <c r="B100" s="2"/>
    </row>
    <row r="101" spans="1:12" x14ac:dyDescent="0.25">
      <c r="B101" s="2"/>
    </row>
    <row r="102" spans="1:12" x14ac:dyDescent="0.25">
      <c r="B102" s="2"/>
    </row>
    <row r="103" spans="1:12" x14ac:dyDescent="0.25">
      <c r="A103" t="s">
        <v>120</v>
      </c>
      <c r="B103" s="2" t="s">
        <v>49</v>
      </c>
      <c r="D103">
        <v>83</v>
      </c>
      <c r="F103">
        <v>20</v>
      </c>
      <c r="G103">
        <v>20</v>
      </c>
      <c r="H103">
        <v>128</v>
      </c>
      <c r="J103">
        <v>40</v>
      </c>
      <c r="K103">
        <v>40</v>
      </c>
      <c r="L103">
        <v>128</v>
      </c>
    </row>
    <row r="104" spans="1:12" x14ac:dyDescent="0.25">
      <c r="A104" t="s">
        <v>121</v>
      </c>
      <c r="B104" s="2" t="s">
        <v>55</v>
      </c>
      <c r="D104">
        <v>84</v>
      </c>
      <c r="F104">
        <v>40</v>
      </c>
      <c r="G104">
        <v>40</v>
      </c>
      <c r="H104">
        <v>64</v>
      </c>
      <c r="J104">
        <v>80</v>
      </c>
      <c r="K104">
        <v>80</v>
      </c>
      <c r="L104">
        <v>64</v>
      </c>
    </row>
    <row r="108" spans="1:12" x14ac:dyDescent="0.25">
      <c r="A108" t="s">
        <v>122</v>
      </c>
      <c r="B108" s="2" t="s">
        <v>47</v>
      </c>
      <c r="D108">
        <v>85</v>
      </c>
      <c r="F108">
        <v>20</v>
      </c>
      <c r="G108">
        <v>20</v>
      </c>
      <c r="H108">
        <v>128</v>
      </c>
      <c r="J108">
        <v>20</v>
      </c>
      <c r="K108">
        <v>20</v>
      </c>
      <c r="L108">
        <v>128</v>
      </c>
    </row>
    <row r="109" spans="1:12" x14ac:dyDescent="0.25">
      <c r="A109" t="s">
        <v>123</v>
      </c>
      <c r="B109" s="2" t="s">
        <v>122</v>
      </c>
      <c r="D109">
        <v>86</v>
      </c>
      <c r="F109">
        <v>20</v>
      </c>
      <c r="G109">
        <v>20</v>
      </c>
      <c r="H109">
        <v>128</v>
      </c>
      <c r="J109">
        <v>20</v>
      </c>
      <c r="K109">
        <v>20</v>
      </c>
      <c r="L109">
        <v>128</v>
      </c>
    </row>
    <row r="110" spans="1:12" x14ac:dyDescent="0.25">
      <c r="A110" t="s">
        <v>124</v>
      </c>
      <c r="B110" s="2" t="s">
        <v>123</v>
      </c>
      <c r="D110">
        <v>87</v>
      </c>
      <c r="F110">
        <v>20</v>
      </c>
      <c r="G110">
        <v>20</v>
      </c>
      <c r="H110">
        <v>128</v>
      </c>
      <c r="J110">
        <v>20</v>
      </c>
      <c r="K110">
        <v>20</v>
      </c>
      <c r="L110">
        <v>128</v>
      </c>
    </row>
    <row r="111" spans="1:12" x14ac:dyDescent="0.25">
      <c r="B111" s="2"/>
    </row>
    <row r="112" spans="1:12" x14ac:dyDescent="0.25">
      <c r="A112" t="s">
        <v>12</v>
      </c>
      <c r="B112" s="2" t="s">
        <v>125</v>
      </c>
      <c r="D112">
        <v>0</v>
      </c>
      <c r="F112">
        <v>640</v>
      </c>
      <c r="G112">
        <v>640</v>
      </c>
      <c r="H112">
        <v>4</v>
      </c>
      <c r="J112">
        <v>320</v>
      </c>
      <c r="K112">
        <v>320</v>
      </c>
      <c r="L112">
        <v>16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a</dc:creator>
  <cp:lastModifiedBy>鑫 徐</cp:lastModifiedBy>
  <dcterms:created xsi:type="dcterms:W3CDTF">2015-06-05T18:19:00Z</dcterms:created>
  <dcterms:modified xsi:type="dcterms:W3CDTF">2026-01-18T14:28:49Z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B9B840F0593743FC93B0C83E08136765_12</vt:lpwstr>
  </property>
  <property fmtid="{D5CDD505-2E9C-101B-9397-08002B2CF9AE}" pid="3" name="KSOProductBuildVer">
    <vt:lpwstr>2052-12.1.0.23542</vt:lpwstr>
  </property>
</Properties>
</file>